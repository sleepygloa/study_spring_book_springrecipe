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4000_구현단계\"/>
    </mc:Choice>
  </mc:AlternateContent>
  <bookViews>
    <workbookView xWindow="0" yWindow="1365" windowWidth="7200" windowHeight="6315" tabRatio="771" activeTab="1"/>
  </bookViews>
  <sheets>
    <sheet name="개발진척현황" sheetId="3" r:id="rId1"/>
    <sheet name="개발일정표" sheetId="4" r:id="rId2"/>
    <sheet name="Sheet1" sheetId="5" r:id="rId3"/>
    <sheet name="Sheet2" sheetId="10" r:id="rId4"/>
    <sheet name="주간진척" sheetId="9" r:id="rId5"/>
    <sheet name="담당자별-개발진척" sheetId="7" r:id="rId6"/>
    <sheet name="결함조치현황" sheetId="6" r:id="rId7"/>
  </sheets>
  <externalReferences>
    <externalReference r:id="rId8"/>
  </externalReferences>
  <definedNames>
    <definedName name="_xlnm._FilterDatabase" localSheetId="1" hidden="1">개발일정표!$A$5:$AG$152</definedName>
    <definedName name="Z_547BC5B2_EA04_40A3_8A00_B318763FAD5F_.wvu.FilterData" localSheetId="1" hidden="1">개발일정표!$A$4:$AG$5</definedName>
    <definedName name="Z_83D121E0_7FB9_4CC4_AFCC_E3415F981E88_.wvu.FilterData" localSheetId="1" hidden="1">개발일정표!$A$4:$AG$5</definedName>
    <definedName name="Z_C7F8E92F_2624_43C8_B0E5_1DE51C127779_.wvu.FilterData" localSheetId="1" hidden="1">개발일정표!$A$4:$AG$5</definedName>
    <definedName name="라이센스유형">[1]코드표!$G$91:$G$98</definedName>
  </definedNames>
  <calcPr calcId="171027"/>
  <customWorkbookViews>
    <customWorkbookView name="Jung - 사용자 보기" guid="{83D121E0-7FB9-4CC4-AFCC-E3415F981E88}" mergeInterval="0" personalView="1" maximized="1" xWindow="1" yWindow="1" windowWidth="1366" windowHeight="540" activeSheetId="4"/>
    <customWorkbookView name="조현덕 - 사용자 보기" guid="{C7F8E92F-2624-43C8-B0E5-1DE51C127779}" mergeInterval="0" personalView="1" maximized="1" xWindow="-8" yWindow="-8" windowWidth="1936" windowHeight="1050" activeSheetId="4"/>
    <customWorkbookView name="pc - 사용자 보기" guid="{547BC5B2-EA04-40A3-8A00-B318763FAD5F}" mergeInterval="0" personalView="1" maximized="1" windowWidth="1916" windowHeight="802" activeSheetId="3"/>
  </customWorkbookViews>
</workbook>
</file>

<file path=xl/calcChain.xml><?xml version="1.0" encoding="utf-8"?>
<calcChain xmlns="http://schemas.openxmlformats.org/spreadsheetml/2006/main">
  <c r="B40" i="9" l="1"/>
  <c r="B38" i="9"/>
  <c r="B37" i="9"/>
  <c r="B36" i="9"/>
  <c r="B35" i="9"/>
  <c r="B34" i="9"/>
  <c r="B33" i="9"/>
  <c r="B32" i="9"/>
  <c r="M40" i="9"/>
  <c r="B39" i="9" l="1"/>
  <c r="H40" i="9"/>
  <c r="B26" i="9"/>
  <c r="B19" i="9"/>
  <c r="B20" i="9"/>
  <c r="B21" i="9"/>
  <c r="B22" i="9"/>
  <c r="B23" i="9"/>
  <c r="B24" i="9"/>
  <c r="B18" i="9"/>
  <c r="B41" i="9" l="1"/>
  <c r="B25" i="9"/>
  <c r="B4" i="9"/>
  <c r="B27" i="9" l="1"/>
  <c r="E5" i="3"/>
  <c r="AI24" i="3" l="1"/>
  <c r="AI22" i="3"/>
  <c r="AI21" i="3"/>
  <c r="AI19" i="3"/>
  <c r="AI17" i="3"/>
  <c r="AI15" i="3"/>
  <c r="AI14" i="3"/>
  <c r="AI13" i="3"/>
  <c r="AI11" i="3"/>
  <c r="AI10" i="3"/>
  <c r="AI9" i="3"/>
  <c r="AI8" i="3"/>
  <c r="AI6" i="3"/>
  <c r="AI32" i="3"/>
  <c r="AI31" i="3"/>
  <c r="AI30" i="3"/>
  <c r="AI29" i="3"/>
  <c r="AH30" i="3"/>
  <c r="AH31" i="3"/>
  <c r="AH32" i="3"/>
  <c r="AH29" i="3"/>
  <c r="AH24" i="3"/>
  <c r="AH22" i="3"/>
  <c r="AH21" i="3"/>
  <c r="AH19" i="3"/>
  <c r="AH20" i="3" s="1"/>
  <c r="AH17" i="3"/>
  <c r="AH15" i="3"/>
  <c r="AH14" i="3"/>
  <c r="AH13" i="3"/>
  <c r="AH11" i="3"/>
  <c r="AH10" i="3"/>
  <c r="AH9" i="3"/>
  <c r="AH8" i="3"/>
  <c r="AH6" i="3"/>
  <c r="AH5" i="3"/>
  <c r="AI5" i="3"/>
  <c r="AI25" i="3"/>
  <c r="AI26" i="3" s="1"/>
  <c r="AI20" i="3"/>
  <c r="AI18" i="3"/>
  <c r="AH18" i="3"/>
  <c r="AH25" i="3"/>
  <c r="AI12" i="3" l="1"/>
  <c r="AI16" i="3"/>
  <c r="AI23" i="3"/>
  <c r="AI33" i="3"/>
  <c r="AH26" i="3"/>
  <c r="AI7" i="3"/>
  <c r="AH7" i="3"/>
  <c r="AH12" i="3"/>
  <c r="AH23" i="3"/>
  <c r="AH33" i="3"/>
  <c r="AH16" i="3"/>
  <c r="I6" i="7"/>
  <c r="I7" i="7"/>
  <c r="I8" i="7"/>
  <c r="I9" i="7"/>
  <c r="I10" i="7"/>
  <c r="I11" i="7"/>
  <c r="I5" i="7"/>
  <c r="AI34" i="3" l="1"/>
  <c r="AI27" i="3"/>
  <c r="AH34" i="3"/>
  <c r="AH27" i="3"/>
  <c r="I12" i="7"/>
  <c r="H10" i="10"/>
  <c r="B24" i="10"/>
  <c r="G10" i="10"/>
  <c r="F10" i="10"/>
  <c r="E10" i="10"/>
  <c r="D10" i="10"/>
  <c r="C10" i="10"/>
  <c r="C12" i="10" s="1"/>
  <c r="Y9" i="7" l="1"/>
  <c r="Q9" i="7"/>
  <c r="B9" i="7"/>
  <c r="B39" i="7"/>
  <c r="B40" i="7"/>
  <c r="B41" i="7"/>
  <c r="B29" i="7"/>
  <c r="B30" i="7"/>
  <c r="B31" i="7"/>
  <c r="I38" i="7"/>
  <c r="B38" i="7"/>
  <c r="I29" i="7"/>
  <c r="I28" i="7"/>
  <c r="B28" i="7"/>
  <c r="I18" i="7"/>
  <c r="B18" i="7"/>
  <c r="Y11" i="7"/>
  <c r="Q11" i="7"/>
  <c r="B11" i="7"/>
  <c r="Y10" i="7"/>
  <c r="Q10" i="7"/>
  <c r="B10" i="7"/>
  <c r="Y8" i="7"/>
  <c r="Q8" i="7"/>
  <c r="B8" i="7"/>
  <c r="Y7" i="7"/>
  <c r="Q7" i="7"/>
  <c r="B7" i="7"/>
  <c r="Y6" i="7"/>
  <c r="Q6" i="7"/>
  <c r="B6" i="7"/>
  <c r="Y5" i="7"/>
  <c r="Q5" i="7"/>
  <c r="B5" i="7"/>
  <c r="B1" i="7"/>
  <c r="N5" i="7" s="1"/>
  <c r="AG6" i="7" l="1"/>
  <c r="AH6" i="7"/>
  <c r="AG11" i="7"/>
  <c r="AH11" i="7"/>
  <c r="AG9" i="7"/>
  <c r="AH9" i="7"/>
  <c r="AG10" i="7"/>
  <c r="AH10" i="7"/>
  <c r="AG5" i="7"/>
  <c r="AH5" i="7"/>
  <c r="AG8" i="7"/>
  <c r="AH8" i="7"/>
  <c r="D9" i="7"/>
  <c r="H9" i="7" s="1"/>
  <c r="J9" i="7"/>
  <c r="N9" i="7"/>
  <c r="R9" i="7"/>
  <c r="V9" i="7"/>
  <c r="Z9" i="7"/>
  <c r="AD9" i="7"/>
  <c r="F9" i="7"/>
  <c r="K9" i="7"/>
  <c r="S9" i="7"/>
  <c r="AA9" i="7"/>
  <c r="C9" i="7"/>
  <c r="L9" i="7"/>
  <c r="T9" i="7"/>
  <c r="AB9" i="7"/>
  <c r="L5" i="7"/>
  <c r="Z5" i="7"/>
  <c r="D5" i="7"/>
  <c r="S5" i="7"/>
  <c r="J6" i="7"/>
  <c r="T5" i="7"/>
  <c r="AA5" i="7"/>
  <c r="C6" i="7"/>
  <c r="K6" i="7"/>
  <c r="R6" i="7"/>
  <c r="AD6" i="7"/>
  <c r="F7" i="7"/>
  <c r="N7" i="7"/>
  <c r="T7" i="7"/>
  <c r="AA7" i="7"/>
  <c r="C8" i="7"/>
  <c r="K8" i="7"/>
  <c r="R8" i="7"/>
  <c r="AD8" i="7"/>
  <c r="F10" i="7"/>
  <c r="N10" i="7"/>
  <c r="T10" i="7"/>
  <c r="AA10" i="7"/>
  <c r="C11" i="7"/>
  <c r="K11" i="7"/>
  <c r="R11" i="7"/>
  <c r="AD11" i="7"/>
  <c r="F21" i="7"/>
  <c r="F28" i="7"/>
  <c r="F40" i="7"/>
  <c r="F5" i="7"/>
  <c r="V5" i="7"/>
  <c r="AB5" i="7"/>
  <c r="D6" i="7"/>
  <c r="L6" i="7"/>
  <c r="S6" i="7"/>
  <c r="Z6" i="7"/>
  <c r="J7" i="7"/>
  <c r="V7" i="7"/>
  <c r="AB7" i="7"/>
  <c r="D8" i="7"/>
  <c r="L8" i="7"/>
  <c r="S8" i="7"/>
  <c r="Z8" i="7"/>
  <c r="J10" i="7"/>
  <c r="V10" i="7"/>
  <c r="AB10" i="7"/>
  <c r="D11" i="7"/>
  <c r="L11" i="7"/>
  <c r="S11" i="7"/>
  <c r="Z11" i="7"/>
  <c r="F18" i="7"/>
  <c r="F29" i="7"/>
  <c r="F31" i="7"/>
  <c r="J5" i="7"/>
  <c r="C5" i="7"/>
  <c r="K5" i="7"/>
  <c r="R5" i="7"/>
  <c r="AD5" i="7"/>
  <c r="F6" i="7"/>
  <c r="N6" i="7"/>
  <c r="T6" i="7"/>
  <c r="AA6" i="7"/>
  <c r="C7" i="7"/>
  <c r="K7" i="7"/>
  <c r="R7" i="7"/>
  <c r="AD7" i="7"/>
  <c r="F8" i="7"/>
  <c r="N8" i="7"/>
  <c r="T8" i="7"/>
  <c r="AA8" i="7"/>
  <c r="C10" i="7"/>
  <c r="K10" i="7"/>
  <c r="R10" i="7"/>
  <c r="AD10" i="7"/>
  <c r="F11" i="7"/>
  <c r="N11" i="7"/>
  <c r="T11" i="7"/>
  <c r="AA11" i="7"/>
  <c r="F19" i="7"/>
  <c r="F30" i="7"/>
  <c r="F38" i="7"/>
  <c r="V6" i="7"/>
  <c r="AB6" i="7"/>
  <c r="D7" i="7"/>
  <c r="L7" i="7"/>
  <c r="S7" i="7"/>
  <c r="Z7" i="7"/>
  <c r="J8" i="7"/>
  <c r="V8" i="7"/>
  <c r="AB8" i="7"/>
  <c r="D10" i="7"/>
  <c r="L10" i="7"/>
  <c r="S10" i="7"/>
  <c r="Z10" i="7"/>
  <c r="J11" i="7"/>
  <c r="V11" i="7"/>
  <c r="AB11" i="7"/>
  <c r="F20" i="7"/>
  <c r="F39" i="7"/>
  <c r="F41" i="7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E18" i="3" s="1"/>
  <c r="AC17" i="3"/>
  <c r="AB17" i="3"/>
  <c r="AB18" i="3" s="1"/>
  <c r="AA17" i="3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I18" i="3" s="1"/>
  <c r="C17" i="3"/>
  <c r="AA18" i="3"/>
  <c r="AF18" i="3" s="1"/>
  <c r="AF9" i="7" l="1"/>
  <c r="X9" i="7"/>
  <c r="P9" i="7"/>
  <c r="G9" i="7"/>
  <c r="E9" i="7"/>
  <c r="W9" i="7"/>
  <c r="U9" i="7"/>
  <c r="AE9" i="7"/>
  <c r="AC9" i="7"/>
  <c r="O9" i="7"/>
  <c r="M9" i="7"/>
  <c r="F15" i="6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40" i="9" l="1"/>
  <c r="C40" i="9"/>
  <c r="I38" i="9"/>
  <c r="K38" i="9" s="1"/>
  <c r="L37" i="9"/>
  <c r="C37" i="9"/>
  <c r="I36" i="9"/>
  <c r="K36" i="9" s="1"/>
  <c r="L35" i="9"/>
  <c r="C35" i="9"/>
  <c r="I34" i="9"/>
  <c r="K34" i="9" s="1"/>
  <c r="L33" i="9"/>
  <c r="C33" i="9"/>
  <c r="I32" i="9"/>
  <c r="D32" i="9"/>
  <c r="J40" i="9"/>
  <c r="D38" i="9"/>
  <c r="J37" i="9"/>
  <c r="D36" i="9"/>
  <c r="J35" i="9"/>
  <c r="D34" i="9"/>
  <c r="J33" i="9"/>
  <c r="I40" i="9"/>
  <c r="K40" i="9" s="1"/>
  <c r="L38" i="9"/>
  <c r="C38" i="9"/>
  <c r="I37" i="9"/>
  <c r="K37" i="9" s="1"/>
  <c r="L36" i="9"/>
  <c r="C36" i="9"/>
  <c r="I35" i="9"/>
  <c r="K35" i="9" s="1"/>
  <c r="L34" i="9"/>
  <c r="C34" i="9"/>
  <c r="I33" i="9"/>
  <c r="K33" i="9" s="1"/>
  <c r="L32" i="9"/>
  <c r="C32" i="9"/>
  <c r="D40" i="9"/>
  <c r="G40" i="9" s="1"/>
  <c r="J38" i="9"/>
  <c r="D37" i="9"/>
  <c r="J36" i="9"/>
  <c r="D35" i="9"/>
  <c r="J34" i="9"/>
  <c r="D33" i="9"/>
  <c r="J32" i="9"/>
  <c r="I24" i="9"/>
  <c r="K24" i="9" s="1"/>
  <c r="L22" i="9"/>
  <c r="D21" i="9"/>
  <c r="C18" i="9"/>
  <c r="L26" i="9"/>
  <c r="C26" i="9"/>
  <c r="D24" i="9"/>
  <c r="I23" i="9"/>
  <c r="K23" i="9" s="1"/>
  <c r="J22" i="9"/>
  <c r="L21" i="9"/>
  <c r="C21" i="9"/>
  <c r="D20" i="9"/>
  <c r="I19" i="9"/>
  <c r="K19" i="9" s="1"/>
  <c r="J18" i="9"/>
  <c r="J26" i="9"/>
  <c r="C24" i="9"/>
  <c r="D23" i="9"/>
  <c r="L20" i="9"/>
  <c r="C20" i="9"/>
  <c r="D19" i="9"/>
  <c r="I18" i="9"/>
  <c r="L24" i="9"/>
  <c r="I22" i="9"/>
  <c r="K22" i="9" s="1"/>
  <c r="J21" i="9"/>
  <c r="I26" i="9"/>
  <c r="K26" i="9" s="1"/>
  <c r="J24" i="9"/>
  <c r="L23" i="9"/>
  <c r="C23" i="9"/>
  <c r="D22" i="9"/>
  <c r="I21" i="9"/>
  <c r="K21" i="9" s="1"/>
  <c r="J20" i="9"/>
  <c r="L19" i="9"/>
  <c r="C19" i="9"/>
  <c r="D18" i="9"/>
  <c r="D26" i="9"/>
  <c r="J23" i="9"/>
  <c r="C22" i="9"/>
  <c r="I20" i="9"/>
  <c r="K20" i="9" s="1"/>
  <c r="J19" i="9"/>
  <c r="L18" i="9"/>
  <c r="D9" i="9"/>
  <c r="C9" i="9"/>
  <c r="L9" i="9"/>
  <c r="I9" i="9"/>
  <c r="K9" i="9" s="1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L25" i="9" l="1"/>
  <c r="L27" i="9" s="1"/>
  <c r="L39" i="9"/>
  <c r="L41" i="9" s="1"/>
  <c r="M23" i="9"/>
  <c r="F23" i="9"/>
  <c r="E23" i="9"/>
  <c r="E19" i="9"/>
  <c r="H19" i="9"/>
  <c r="G19" i="9"/>
  <c r="F24" i="9"/>
  <c r="M24" i="9"/>
  <c r="E24" i="9"/>
  <c r="G20" i="9"/>
  <c r="H20" i="9"/>
  <c r="M18" i="9"/>
  <c r="E18" i="9"/>
  <c r="F18" i="9"/>
  <c r="C25" i="9"/>
  <c r="J39" i="9"/>
  <c r="J41" i="9" s="1"/>
  <c r="E32" i="9"/>
  <c r="M32" i="9"/>
  <c r="F32" i="9"/>
  <c r="C39" i="9"/>
  <c r="I39" i="9"/>
  <c r="K32" i="9"/>
  <c r="F35" i="9"/>
  <c r="M35" i="9"/>
  <c r="G26" i="9"/>
  <c r="H26" i="9"/>
  <c r="E20" i="9"/>
  <c r="F20" i="9"/>
  <c r="M20" i="9"/>
  <c r="E21" i="9"/>
  <c r="M21" i="9"/>
  <c r="F21" i="9"/>
  <c r="G24" i="9"/>
  <c r="H24" i="9"/>
  <c r="G21" i="9"/>
  <c r="H21" i="9"/>
  <c r="E33" i="9"/>
  <c r="G33" i="9"/>
  <c r="H33" i="9"/>
  <c r="G37" i="9"/>
  <c r="H37" i="9"/>
  <c r="F38" i="9"/>
  <c r="E38" i="9"/>
  <c r="M38" i="9"/>
  <c r="E34" i="9"/>
  <c r="G34" i="9"/>
  <c r="H34" i="9"/>
  <c r="G38" i="9"/>
  <c r="H38" i="9"/>
  <c r="F33" i="9"/>
  <c r="M33" i="9"/>
  <c r="D25" i="9"/>
  <c r="G18" i="9"/>
  <c r="H18" i="9"/>
  <c r="J25" i="9"/>
  <c r="J27" i="9" s="1"/>
  <c r="F26" i="9"/>
  <c r="E26" i="9"/>
  <c r="M26" i="9"/>
  <c r="F36" i="9"/>
  <c r="M36" i="9"/>
  <c r="E40" i="9"/>
  <c r="F40" i="9"/>
  <c r="F22" i="9"/>
  <c r="M22" i="9"/>
  <c r="E22" i="9"/>
  <c r="F19" i="9"/>
  <c r="M19" i="9"/>
  <c r="G22" i="9"/>
  <c r="H22" i="9"/>
  <c r="I25" i="9"/>
  <c r="K18" i="9"/>
  <c r="H23" i="9"/>
  <c r="G23" i="9"/>
  <c r="E35" i="9"/>
  <c r="G35" i="9"/>
  <c r="H35" i="9"/>
  <c r="M34" i="9"/>
  <c r="F34" i="9"/>
  <c r="E36" i="9"/>
  <c r="H36" i="9"/>
  <c r="G36" i="9"/>
  <c r="H32" i="9"/>
  <c r="G32" i="9"/>
  <c r="D39" i="9"/>
  <c r="F37" i="9"/>
  <c r="E37" i="9"/>
  <c r="M37" i="9"/>
  <c r="M7" i="9"/>
  <c r="M5" i="9"/>
  <c r="M6" i="9"/>
  <c r="M12" i="9"/>
  <c r="M8" i="9"/>
  <c r="M10" i="9"/>
  <c r="M4" i="9"/>
  <c r="F9" i="9"/>
  <c r="M9" i="9"/>
  <c r="E9" i="9"/>
  <c r="G9" i="9"/>
  <c r="H9" i="9"/>
  <c r="G7" i="9"/>
  <c r="G6" i="9"/>
  <c r="E6" i="9"/>
  <c r="E12" i="9"/>
  <c r="E7" i="9"/>
  <c r="G5" i="9"/>
  <c r="G10" i="9"/>
  <c r="G12" i="9"/>
  <c r="E4" i="9"/>
  <c r="G4" i="9"/>
  <c r="E5" i="9"/>
  <c r="G8" i="9"/>
  <c r="E10" i="9"/>
  <c r="E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D41" i="9" l="1"/>
  <c r="M39" i="9"/>
  <c r="H39" i="9"/>
  <c r="D27" i="9"/>
  <c r="M25" i="9"/>
  <c r="H25" i="9"/>
  <c r="C41" i="9"/>
  <c r="F41" i="9" s="1"/>
  <c r="F39" i="9"/>
  <c r="G39" i="9"/>
  <c r="G41" i="9" s="1"/>
  <c r="F25" i="9"/>
  <c r="C27" i="9"/>
  <c r="I27" i="9"/>
  <c r="K27" i="9" s="1"/>
  <c r="K25" i="9"/>
  <c r="G25" i="9"/>
  <c r="G27" i="9" s="1"/>
  <c r="I41" i="9"/>
  <c r="K41" i="9" s="1"/>
  <c r="K39" i="9"/>
  <c r="E39" i="9"/>
  <c r="E41" i="9" s="1"/>
  <c r="E25" i="9"/>
  <c r="E27" i="9" s="1"/>
  <c r="G11" i="9"/>
  <c r="G13" i="9" s="1"/>
  <c r="B13" i="9"/>
  <c r="M11" i="9"/>
  <c r="E11" i="9"/>
  <c r="E13" i="9" s="1"/>
  <c r="K13" i="9"/>
  <c r="K11" i="9"/>
  <c r="L13" i="9"/>
  <c r="F27" i="9" l="1"/>
  <c r="H27" i="9"/>
  <c r="M27" i="9"/>
  <c r="H41" i="9"/>
  <c r="M41" i="9"/>
  <c r="M13" i="9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F5" i="6"/>
  <c r="C5" i="6"/>
  <c r="I4" i="6"/>
  <c r="F4" i="6"/>
  <c r="C4" i="6"/>
  <c r="C1" i="6"/>
  <c r="I41" i="7"/>
  <c r="I40" i="7"/>
  <c r="I39" i="7"/>
  <c r="B34" i="7"/>
  <c r="I31" i="7"/>
  <c r="I30" i="7"/>
  <c r="B24" i="7"/>
  <c r="I21" i="7"/>
  <c r="B21" i="7"/>
  <c r="I20" i="7"/>
  <c r="B20" i="7"/>
  <c r="I19" i="7"/>
  <c r="B19" i="7"/>
  <c r="B14" i="7"/>
  <c r="AE32" i="3"/>
  <c r="AC32" i="3"/>
  <c r="AB32" i="3"/>
  <c r="AA32" i="3"/>
  <c r="Z32" i="3"/>
  <c r="W32" i="3"/>
  <c r="U32" i="3"/>
  <c r="T32" i="3"/>
  <c r="S32" i="3"/>
  <c r="X32" i="3" s="1"/>
  <c r="R32" i="3"/>
  <c r="O32" i="3"/>
  <c r="M32" i="3"/>
  <c r="L32" i="3"/>
  <c r="K32" i="3"/>
  <c r="H32" i="3"/>
  <c r="G32" i="3"/>
  <c r="E32" i="3"/>
  <c r="D32" i="3"/>
  <c r="C32" i="3"/>
  <c r="AE31" i="3"/>
  <c r="AC31" i="3"/>
  <c r="AB31" i="3"/>
  <c r="AA31" i="3"/>
  <c r="Z31" i="3"/>
  <c r="W31" i="3"/>
  <c r="U31" i="3"/>
  <c r="T31" i="3"/>
  <c r="S31" i="3"/>
  <c r="X31" i="3" s="1"/>
  <c r="R31" i="3"/>
  <c r="O31" i="3"/>
  <c r="M31" i="3"/>
  <c r="L31" i="3"/>
  <c r="K31" i="3"/>
  <c r="H31" i="3"/>
  <c r="G31" i="3"/>
  <c r="E31" i="3"/>
  <c r="D31" i="3"/>
  <c r="C31" i="3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9" i="3"/>
  <c r="AC29" i="3"/>
  <c r="AB29" i="3"/>
  <c r="AA29" i="3"/>
  <c r="Z29" i="3"/>
  <c r="W29" i="3"/>
  <c r="U29" i="3"/>
  <c r="T29" i="3"/>
  <c r="S29" i="3"/>
  <c r="R29" i="3"/>
  <c r="O29" i="3"/>
  <c r="M29" i="3"/>
  <c r="L29" i="3"/>
  <c r="K29" i="3"/>
  <c r="H29" i="3"/>
  <c r="G29" i="3"/>
  <c r="E29" i="3"/>
  <c r="D29" i="3"/>
  <c r="C29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D5" i="3"/>
  <c r="C5" i="3"/>
  <c r="F25" i="6" l="1"/>
  <c r="F31" i="6" s="1"/>
  <c r="I26" i="6"/>
  <c r="I32" i="6" s="1"/>
  <c r="I25" i="6"/>
  <c r="I31" i="6" s="1"/>
  <c r="C26" i="6"/>
  <c r="C32" i="6" s="1"/>
  <c r="D18" i="7"/>
  <c r="C18" i="7"/>
  <c r="C29" i="7"/>
  <c r="D28" i="7"/>
  <c r="D29" i="7"/>
  <c r="C28" i="7"/>
  <c r="C38" i="7"/>
  <c r="D38" i="7"/>
  <c r="C25" i="6"/>
  <c r="C31" i="6" s="1"/>
  <c r="F26" i="6"/>
  <c r="F32" i="6" s="1"/>
  <c r="Y30" i="3"/>
  <c r="D14" i="6"/>
  <c r="J13" i="6"/>
  <c r="G14" i="6"/>
  <c r="D13" i="6"/>
  <c r="G13" i="6"/>
  <c r="G15" i="6" s="1"/>
  <c r="J14" i="6"/>
  <c r="Y32" i="3"/>
  <c r="Y31" i="3"/>
  <c r="Y29" i="3"/>
  <c r="AC26" i="3"/>
  <c r="C24" i="6"/>
  <c r="R12" i="3"/>
  <c r="R20" i="3"/>
  <c r="C12" i="3"/>
  <c r="U26" i="3"/>
  <c r="Z33" i="3"/>
  <c r="T23" i="3"/>
  <c r="G26" i="3"/>
  <c r="T26" i="3"/>
  <c r="D33" i="3"/>
  <c r="W33" i="3"/>
  <c r="AC33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I32" i="3"/>
  <c r="G20" i="3"/>
  <c r="M20" i="3"/>
  <c r="T20" i="3"/>
  <c r="E12" i="3"/>
  <c r="AF10" i="3"/>
  <c r="C18" i="6"/>
  <c r="F9" i="6"/>
  <c r="Q12" i="7"/>
  <c r="B32" i="7"/>
  <c r="I42" i="7"/>
  <c r="C6" i="6"/>
  <c r="I9" i="6"/>
  <c r="F18" i="6"/>
  <c r="F24" i="6"/>
  <c r="I24" i="6"/>
  <c r="F6" i="6"/>
  <c r="AD21" i="3"/>
  <c r="J9" i="3"/>
  <c r="J24" i="3"/>
  <c r="AD30" i="3"/>
  <c r="I6" i="6"/>
  <c r="I12" i="6"/>
  <c r="AD24" i="3"/>
  <c r="B12" i="7"/>
  <c r="Q25" i="3"/>
  <c r="F31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I16" i="3" s="1"/>
  <c r="K16" i="3"/>
  <c r="W16" i="3"/>
  <c r="AC16" i="3"/>
  <c r="Q21" i="3"/>
  <c r="O23" i="3"/>
  <c r="U23" i="3"/>
  <c r="AB23" i="3"/>
  <c r="G33" i="3"/>
  <c r="M33" i="3"/>
  <c r="T33" i="3"/>
  <c r="O7" i="3"/>
  <c r="U7" i="3"/>
  <c r="AB7" i="3"/>
  <c r="AE20" i="3"/>
  <c r="J11" i="3"/>
  <c r="E16" i="3"/>
  <c r="L16" i="3"/>
  <c r="S16" i="3"/>
  <c r="N21" i="3"/>
  <c r="L7" i="3"/>
  <c r="S7" i="3"/>
  <c r="AG6" i="3"/>
  <c r="P8" i="3"/>
  <c r="S12" i="3"/>
  <c r="AE12" i="3"/>
  <c r="N9" i="3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AF32" i="3"/>
  <c r="V10" i="3"/>
  <c r="AD11" i="3"/>
  <c r="V14" i="3"/>
  <c r="AG14" i="3"/>
  <c r="Y15" i="3"/>
  <c r="AD15" i="3"/>
  <c r="V25" i="3"/>
  <c r="N29" i="3"/>
  <c r="N30" i="3"/>
  <c r="AF31" i="3"/>
  <c r="E5" i="7"/>
  <c r="C19" i="7"/>
  <c r="H29" i="7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9" i="3"/>
  <c r="H33" i="3"/>
  <c r="O33" i="3"/>
  <c r="U33" i="3"/>
  <c r="AB33" i="3"/>
  <c r="F30" i="3"/>
  <c r="AF30" i="3"/>
  <c r="J31" i="3"/>
  <c r="AG31" i="3"/>
  <c r="AD31" i="3"/>
  <c r="AG32" i="3"/>
  <c r="G8" i="7"/>
  <c r="AC7" i="7"/>
  <c r="U5" i="7"/>
  <c r="AC5" i="7"/>
  <c r="G6" i="7"/>
  <c r="W6" i="7"/>
  <c r="M7" i="7"/>
  <c r="U7" i="7"/>
  <c r="X25" i="3"/>
  <c r="H26" i="3"/>
  <c r="O26" i="3"/>
  <c r="AB26" i="3"/>
  <c r="F25" i="3"/>
  <c r="N25" i="3"/>
  <c r="P25" i="3"/>
  <c r="E33" i="3"/>
  <c r="L33" i="3"/>
  <c r="V29" i="3"/>
  <c r="AE33" i="3"/>
  <c r="V30" i="3"/>
  <c r="AG30" i="3"/>
  <c r="I31" i="3"/>
  <c r="P31" i="3"/>
  <c r="V31" i="3"/>
  <c r="Q32" i="3"/>
  <c r="AE6" i="7"/>
  <c r="M8" i="7"/>
  <c r="AC8" i="7"/>
  <c r="H10" i="7"/>
  <c r="U11" i="7"/>
  <c r="N24" i="3"/>
  <c r="Y24" i="3"/>
  <c r="AD29" i="3"/>
  <c r="J30" i="3"/>
  <c r="P32" i="3"/>
  <c r="J12" i="7"/>
  <c r="U10" i="7"/>
  <c r="D12" i="7"/>
  <c r="V12" i="7"/>
  <c r="J4" i="6"/>
  <c r="J7" i="6"/>
  <c r="J10" i="6"/>
  <c r="D17" i="6"/>
  <c r="E17" i="6" s="1"/>
  <c r="D19" i="6"/>
  <c r="G20" i="6"/>
  <c r="D22" i="6"/>
  <c r="G23" i="6"/>
  <c r="H23" i="6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G29" i="7"/>
  <c r="D41" i="7"/>
  <c r="H41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D5" i="6"/>
  <c r="D8" i="6"/>
  <c r="E8" i="6" s="1"/>
  <c r="D11" i="6"/>
  <c r="E11" i="6" s="1"/>
  <c r="D16" i="6"/>
  <c r="G17" i="6"/>
  <c r="H17" i="6" s="1"/>
  <c r="G19" i="6"/>
  <c r="J20" i="6"/>
  <c r="G22" i="6"/>
  <c r="X20" i="3"/>
  <c r="K7" i="3"/>
  <c r="P10" i="7"/>
  <c r="F42" i="7"/>
  <c r="G18" i="7"/>
  <c r="D30" i="7"/>
  <c r="H30" i="7" s="1"/>
  <c r="D31" i="7"/>
  <c r="H31" i="7" s="1"/>
  <c r="B42" i="7"/>
  <c r="D40" i="7"/>
  <c r="H40" i="7" s="1"/>
  <c r="C41" i="7"/>
  <c r="D19" i="7"/>
  <c r="C20" i="7"/>
  <c r="C21" i="7"/>
  <c r="H28" i="7"/>
  <c r="G38" i="7"/>
  <c r="C39" i="7"/>
  <c r="B22" i="7"/>
  <c r="I22" i="7"/>
  <c r="D20" i="7"/>
  <c r="D21" i="7"/>
  <c r="I32" i="7"/>
  <c r="E29" i="7"/>
  <c r="C30" i="7"/>
  <c r="C31" i="7"/>
  <c r="D39" i="7"/>
  <c r="H39" i="7" s="1"/>
  <c r="C40" i="7"/>
  <c r="Y12" i="7"/>
  <c r="AD12" i="7"/>
  <c r="AF7" i="7"/>
  <c r="Z12" i="7"/>
  <c r="P6" i="7"/>
  <c r="E7" i="7"/>
  <c r="E8" i="7"/>
  <c r="X8" i="7"/>
  <c r="AE8" i="7"/>
  <c r="M10" i="7"/>
  <c r="AC10" i="7"/>
  <c r="W11" i="7"/>
  <c r="O6" i="7"/>
  <c r="AF6" i="7"/>
  <c r="H7" i="7"/>
  <c r="P7" i="7"/>
  <c r="P8" i="7"/>
  <c r="AF8" i="7"/>
  <c r="E10" i="7"/>
  <c r="X11" i="7"/>
  <c r="AE11" i="7"/>
  <c r="I27" i="6"/>
  <c r="X7" i="3"/>
  <c r="P6" i="3"/>
  <c r="X6" i="3"/>
  <c r="F19" i="3"/>
  <c r="N19" i="3"/>
  <c r="P19" i="3"/>
  <c r="Y19" i="3"/>
  <c r="C20" i="3"/>
  <c r="J12" i="3"/>
  <c r="J5" i="3"/>
  <c r="I6" i="3"/>
  <c r="Q6" i="3"/>
  <c r="R7" i="3"/>
  <c r="Z7" i="3"/>
  <c r="Q19" i="3"/>
  <c r="D12" i="3"/>
  <c r="F8" i="3"/>
  <c r="I8" i="3"/>
  <c r="V16" i="3"/>
  <c r="I33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N26" i="3"/>
  <c r="X8" i="3"/>
  <c r="AF8" i="3"/>
  <c r="I9" i="3"/>
  <c r="Q9" i="3"/>
  <c r="J10" i="3"/>
  <c r="N10" i="3"/>
  <c r="P15" i="3"/>
  <c r="X15" i="3"/>
  <c r="R23" i="3"/>
  <c r="Z23" i="3"/>
  <c r="P30" i="3"/>
  <c r="Q31" i="3"/>
  <c r="F32" i="3"/>
  <c r="J32" i="3"/>
  <c r="N32" i="3"/>
  <c r="V32" i="3"/>
  <c r="AD32" i="3"/>
  <c r="K33" i="3"/>
  <c r="P33" i="3" s="1"/>
  <c r="AA33" i="3"/>
  <c r="AF33" i="3" s="1"/>
  <c r="Y8" i="3"/>
  <c r="AG8" i="3"/>
  <c r="F9" i="3"/>
  <c r="P11" i="3"/>
  <c r="X11" i="3"/>
  <c r="AF11" i="3"/>
  <c r="P14" i="3"/>
  <c r="X14" i="3"/>
  <c r="AF14" i="3"/>
  <c r="I15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AG26" i="3" s="1"/>
  <c r="P29" i="3"/>
  <c r="X29" i="3"/>
  <c r="AF29" i="3"/>
  <c r="I30" i="3"/>
  <c r="Q30" i="3"/>
  <c r="N31" i="3"/>
  <c r="R33" i="3"/>
  <c r="Y33" i="3" s="1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3" i="3" s="1"/>
  <c r="I24" i="3"/>
  <c r="Q24" i="3"/>
  <c r="C26" i="3"/>
  <c r="K26" i="3"/>
  <c r="S26" i="3"/>
  <c r="X26" i="3" s="1"/>
  <c r="AA26" i="3"/>
  <c r="I29" i="3"/>
  <c r="Q29" i="3"/>
  <c r="AG29" i="3"/>
  <c r="C33" i="3"/>
  <c r="S33" i="3"/>
  <c r="X33" i="3" s="1"/>
  <c r="I13" i="3"/>
  <c r="F24" i="3"/>
  <c r="F26" i="3" s="1"/>
  <c r="F29" i="3"/>
  <c r="O5" i="7"/>
  <c r="W5" i="7"/>
  <c r="AE5" i="7"/>
  <c r="H6" i="7"/>
  <c r="U6" i="7"/>
  <c r="O7" i="7"/>
  <c r="W7" i="7"/>
  <c r="AE7" i="7"/>
  <c r="H8" i="7"/>
  <c r="U8" i="7"/>
  <c r="O10" i="7"/>
  <c r="H11" i="7"/>
  <c r="M11" i="7"/>
  <c r="G5" i="7"/>
  <c r="P5" i="7"/>
  <c r="X5" i="7"/>
  <c r="AF5" i="7"/>
  <c r="G7" i="7"/>
  <c r="G10" i="7"/>
  <c r="X10" i="7"/>
  <c r="AF10" i="7"/>
  <c r="H5" i="7"/>
  <c r="H18" i="7"/>
  <c r="F27" i="6"/>
  <c r="C27" i="6"/>
  <c r="G28" i="7"/>
  <c r="L25" i="6"/>
  <c r="F16" i="3" l="1"/>
  <c r="E19" i="7"/>
  <c r="AG33" i="3"/>
  <c r="D26" i="6"/>
  <c r="D32" i="6" s="1"/>
  <c r="H12" i="7"/>
  <c r="M6" i="7"/>
  <c r="AC11" i="7"/>
  <c r="S12" i="7"/>
  <c r="K12" i="7"/>
  <c r="L12" i="7"/>
  <c r="C12" i="7"/>
  <c r="G12" i="7" s="1"/>
  <c r="AC6" i="7"/>
  <c r="E6" i="7"/>
  <c r="M5" i="7"/>
  <c r="K34" i="3"/>
  <c r="H34" i="3"/>
  <c r="AE34" i="3"/>
  <c r="O34" i="3"/>
  <c r="C34" i="3"/>
  <c r="C27" i="3"/>
  <c r="I33" i="6"/>
  <c r="I36" i="6" s="1"/>
  <c r="C33" i="6"/>
  <c r="C36" i="6" s="1"/>
  <c r="F33" i="6"/>
  <c r="F36" i="6" s="1"/>
  <c r="Z34" i="3"/>
  <c r="Z27" i="3"/>
  <c r="D34" i="3"/>
  <c r="AA34" i="3"/>
  <c r="E34" i="3"/>
  <c r="AC34" i="3"/>
  <c r="R34" i="3"/>
  <c r="R27" i="3"/>
  <c r="M34" i="3"/>
  <c r="S34" i="3"/>
  <c r="AB34" i="3"/>
  <c r="W34" i="3"/>
  <c r="T34" i="3"/>
  <c r="G34" i="3"/>
  <c r="L34" i="3"/>
  <c r="U34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AA27" i="3"/>
  <c r="E27" i="3"/>
  <c r="AC27" i="3"/>
  <c r="M27" i="3"/>
  <c r="S27" i="3"/>
  <c r="AB27" i="3"/>
  <c r="W27" i="3"/>
  <c r="T27" i="3"/>
  <c r="G27" i="3"/>
  <c r="L27" i="3"/>
  <c r="U27" i="3"/>
  <c r="F32" i="7"/>
  <c r="E11" i="7"/>
  <c r="W10" i="7"/>
  <c r="R12" i="7"/>
  <c r="I7" i="3"/>
  <c r="AG12" i="3"/>
  <c r="AD20" i="3"/>
  <c r="N16" i="3"/>
  <c r="AD23" i="3"/>
  <c r="N7" i="3"/>
  <c r="Y16" i="3"/>
  <c r="O8" i="7"/>
  <c r="AB12" i="7"/>
  <c r="AE10" i="7"/>
  <c r="AF16" i="3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V26" i="3"/>
  <c r="O11" i="7"/>
  <c r="P11" i="7"/>
  <c r="E18" i="7"/>
  <c r="G20" i="7"/>
  <c r="E40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D22" i="7"/>
  <c r="X6" i="7"/>
  <c r="D32" i="7"/>
  <c r="H32" i="7" s="1"/>
  <c r="O12" i="7"/>
  <c r="G19" i="7"/>
  <c r="N12" i="3"/>
  <c r="G39" i="7"/>
  <c r="C32" i="7"/>
  <c r="E20" i="7"/>
  <c r="K22" i="6"/>
  <c r="J24" i="6"/>
  <c r="H5" i="6"/>
  <c r="G12" i="6"/>
  <c r="H12" i="6" s="1"/>
  <c r="H10" i="6"/>
  <c r="K5" i="6"/>
  <c r="AA12" i="7"/>
  <c r="X7" i="7"/>
  <c r="W8" i="7"/>
  <c r="E38" i="7"/>
  <c r="H38" i="7"/>
  <c r="F23" i="3"/>
  <c r="E21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T12" i="7"/>
  <c r="C42" i="7"/>
  <c r="G24" i="6"/>
  <c r="H22" i="6"/>
  <c r="J18" i="6"/>
  <c r="K18" i="6" s="1"/>
  <c r="K16" i="6"/>
  <c r="G9" i="6"/>
  <c r="H9" i="6" s="1"/>
  <c r="H7" i="6"/>
  <c r="K7" i="6"/>
  <c r="J9" i="6"/>
  <c r="K9" i="6" s="1"/>
  <c r="AF11" i="7"/>
  <c r="N12" i="7"/>
  <c r="G11" i="7"/>
  <c r="AF12" i="3"/>
  <c r="F33" i="3"/>
  <c r="V33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2" i="7"/>
  <c r="E39" i="7"/>
  <c r="G40" i="7"/>
  <c r="H21" i="7"/>
  <c r="P12" i="3"/>
  <c r="H20" i="7"/>
  <c r="AD33" i="3"/>
  <c r="H19" i="7"/>
  <c r="D42" i="7"/>
  <c r="N33" i="3"/>
  <c r="G21" i="7"/>
  <c r="C22" i="7"/>
  <c r="E28" i="7"/>
  <c r="F22" i="7"/>
  <c r="G31" i="7"/>
  <c r="E31" i="7"/>
  <c r="G30" i="7"/>
  <c r="E30" i="7"/>
  <c r="E41" i="7"/>
  <c r="G41" i="7"/>
  <c r="J26" i="3"/>
  <c r="Q26" i="3"/>
  <c r="J16" i="3"/>
  <c r="Q16" i="3"/>
  <c r="V20" i="3"/>
  <c r="J7" i="3"/>
  <c r="Q7" i="3"/>
  <c r="AG7" i="3"/>
  <c r="J20" i="3"/>
  <c r="Q20" i="3"/>
  <c r="J33" i="3"/>
  <c r="Q33" i="3"/>
  <c r="Y7" i="3"/>
  <c r="Q23" i="3"/>
  <c r="J23" i="3"/>
  <c r="Q12" i="3"/>
  <c r="U12" i="7"/>
  <c r="F12" i="3"/>
  <c r="F20" i="3"/>
  <c r="I27" i="3" l="1"/>
  <c r="I34" i="3"/>
  <c r="M12" i="7"/>
  <c r="U28" i="3"/>
  <c r="AC12" i="7"/>
  <c r="E12" i="7"/>
  <c r="P12" i="7"/>
  <c r="W12" i="7"/>
  <c r="AD34" i="3"/>
  <c r="I43" i="6"/>
  <c r="I42" i="6"/>
  <c r="I41" i="6"/>
  <c r="C43" i="6"/>
  <c r="C42" i="6"/>
  <c r="C41" i="6"/>
  <c r="F43" i="6"/>
  <c r="F42" i="6"/>
  <c r="F41" i="6"/>
  <c r="N34" i="3"/>
  <c r="V34" i="3"/>
  <c r="F34" i="3"/>
  <c r="N27" i="3"/>
  <c r="F27" i="3"/>
  <c r="V27" i="3"/>
  <c r="AD27" i="3"/>
  <c r="M28" i="3"/>
  <c r="W28" i="3"/>
  <c r="U35" i="3"/>
  <c r="AC35" i="3"/>
  <c r="AE35" i="3"/>
  <c r="AC28" i="3"/>
  <c r="W35" i="3"/>
  <c r="AE28" i="3"/>
  <c r="M35" i="3"/>
  <c r="X35" i="3"/>
  <c r="K31" i="6"/>
  <c r="D39" i="6"/>
  <c r="H31" i="6"/>
  <c r="D38" i="6"/>
  <c r="K32" i="6"/>
  <c r="H32" i="6"/>
  <c r="L36" i="6"/>
  <c r="L43" i="6" s="1"/>
  <c r="X34" i="3"/>
  <c r="H42" i="7"/>
  <c r="O35" i="3"/>
  <c r="E22" i="7"/>
  <c r="X12" i="7"/>
  <c r="G22" i="7"/>
  <c r="O28" i="3"/>
  <c r="H22" i="7"/>
  <c r="E42" i="7"/>
  <c r="G32" i="7"/>
  <c r="E26" i="6"/>
  <c r="E25" i="6"/>
  <c r="J39" i="6"/>
  <c r="K26" i="6"/>
  <c r="K24" i="6"/>
  <c r="J27" i="6"/>
  <c r="J33" i="6" s="1"/>
  <c r="H24" i="6"/>
  <c r="G27" i="6"/>
  <c r="G33" i="6" s="1"/>
  <c r="G38" i="6"/>
  <c r="H25" i="6"/>
  <c r="K25" i="6"/>
  <c r="J38" i="6"/>
  <c r="E24" i="6"/>
  <c r="D27" i="6"/>
  <c r="D33" i="6" s="1"/>
  <c r="AF12" i="7"/>
  <c r="AE12" i="7"/>
  <c r="H26" i="6"/>
  <c r="G39" i="6"/>
  <c r="E32" i="7"/>
  <c r="G42" i="7"/>
  <c r="P35" i="3"/>
  <c r="P34" i="3"/>
  <c r="P28" i="3"/>
  <c r="P27" i="3"/>
  <c r="AF35" i="3"/>
  <c r="AF34" i="3"/>
  <c r="AG28" i="3"/>
  <c r="AG27" i="3"/>
  <c r="Q28" i="3"/>
  <c r="Q27" i="3"/>
  <c r="J27" i="3"/>
  <c r="AF28" i="3"/>
  <c r="AF27" i="3"/>
  <c r="Y28" i="3"/>
  <c r="Y27" i="3"/>
  <c r="AG35" i="3"/>
  <c r="AG34" i="3"/>
  <c r="J34" i="3"/>
  <c r="Q35" i="3"/>
  <c r="Q34" i="3"/>
  <c r="Y35" i="3"/>
  <c r="Y34" i="3"/>
  <c r="X28" i="3"/>
  <c r="X27" i="3"/>
  <c r="L41" i="6" l="1"/>
  <c r="L42" i="6"/>
  <c r="E31" i="6"/>
  <c r="E32" i="6"/>
  <c r="E27" i="6"/>
  <c r="E33" i="6"/>
  <c r="H27" i="6"/>
  <c r="H33" i="6"/>
  <c r="K27" i="6"/>
  <c r="K33" i="6"/>
</calcChain>
</file>

<file path=xl/comments1.xml><?xml version="1.0" encoding="utf-8"?>
<comments xmlns="http://schemas.openxmlformats.org/spreadsheetml/2006/main">
  <authors>
    <author>pc</author>
  </authors>
  <commentList>
    <comment ref="R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S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Y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Z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F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G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<sst xmlns="http://schemas.openxmlformats.org/spreadsheetml/2006/main" count="1676" uniqueCount="674">
  <si>
    <t>프로젝트명</t>
    <phoneticPr fontId="22" type="noConversion"/>
  </si>
  <si>
    <t>작성자</t>
    <phoneticPr fontId="22" type="noConversion"/>
  </si>
  <si>
    <t>산출물명</t>
    <phoneticPr fontId="22" type="noConversion"/>
  </si>
  <si>
    <t>작성일</t>
    <phoneticPr fontId="22" type="noConversion"/>
  </si>
  <si>
    <t>시스템 구분</t>
    <phoneticPr fontId="22" type="noConversion"/>
  </si>
  <si>
    <t>종료일</t>
    <phoneticPr fontId="22" type="noConversion"/>
  </si>
  <si>
    <t>프로그램 명</t>
    <phoneticPr fontId="22" type="noConversion"/>
  </si>
  <si>
    <t>프로그램 ID</t>
    <phoneticPr fontId="22" type="noConversion"/>
  </si>
  <si>
    <t>계획시작일</t>
    <phoneticPr fontId="22" type="noConversion"/>
  </si>
  <si>
    <t>시작일</t>
    <phoneticPr fontId="22" type="noConversion"/>
  </si>
  <si>
    <t>계획종료일</t>
    <phoneticPr fontId="22" type="noConversion"/>
  </si>
  <si>
    <t>대</t>
    <phoneticPr fontId="22" type="noConversion"/>
  </si>
  <si>
    <t>중</t>
    <phoneticPr fontId="22" type="noConversion"/>
  </si>
  <si>
    <t>소</t>
    <phoneticPr fontId="22" type="noConversion"/>
  </si>
  <si>
    <t>계획</t>
  </si>
  <si>
    <t>개발</t>
    <phoneticPr fontId="22" type="noConversion"/>
  </si>
  <si>
    <t>PL 단위테스트</t>
    <phoneticPr fontId="22" type="noConversion"/>
  </si>
  <si>
    <t>IT 단위테스트</t>
    <phoneticPr fontId="22" type="noConversion"/>
  </si>
  <si>
    <t>TFT 단위테스트</t>
    <phoneticPr fontId="22" type="noConversion"/>
  </si>
  <si>
    <t>담당자</t>
    <phoneticPr fontId="22" type="noConversion"/>
  </si>
  <si>
    <t>◈ 누적 진척현황</t>
    <phoneticPr fontId="22" type="noConversion"/>
  </si>
  <si>
    <t>지연</t>
  </si>
  <si>
    <t>테스트결과</t>
    <phoneticPr fontId="22" type="noConversion"/>
  </si>
  <si>
    <t>테스트결과</t>
    <phoneticPr fontId="22" type="noConversion"/>
  </si>
  <si>
    <t>L1</t>
    <phoneticPr fontId="22" type="noConversion"/>
  </si>
  <si>
    <t>L2</t>
  </si>
  <si>
    <t>L3</t>
  </si>
  <si>
    <t>결함조치</t>
    <phoneticPr fontId="22" type="noConversion"/>
  </si>
  <si>
    <t>결함조치</t>
    <phoneticPr fontId="22" type="noConversion"/>
  </si>
  <si>
    <t>Y</t>
    <phoneticPr fontId="22" type="noConversion"/>
  </si>
  <si>
    <t>N</t>
    <phoneticPr fontId="22" type="noConversion"/>
  </si>
  <si>
    <t>조치완료</t>
    <phoneticPr fontId="22" type="noConversion"/>
  </si>
  <si>
    <t>조치전</t>
    <phoneticPr fontId="22" type="noConversion"/>
  </si>
  <si>
    <t>업무구분</t>
    <phoneticPr fontId="22" type="noConversion"/>
  </si>
  <si>
    <t>총 본수</t>
    <phoneticPr fontId="22" type="noConversion"/>
  </si>
  <si>
    <t>개발</t>
    <phoneticPr fontId="22" type="noConversion"/>
  </si>
  <si>
    <t>PL 검수</t>
    <phoneticPr fontId="22" type="noConversion"/>
  </si>
  <si>
    <t>IT검수/승인</t>
    <phoneticPr fontId="22" type="noConversion"/>
  </si>
  <si>
    <t>계획</t>
    <phoneticPr fontId="22" type="noConversion"/>
  </si>
  <si>
    <t>실적</t>
    <phoneticPr fontId="22" type="noConversion"/>
  </si>
  <si>
    <t>지연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</si>
  <si>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</si>
  <si>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완료율</t>
    <phoneticPr fontId="22" type="noConversion"/>
  </si>
  <si>
    <t>Pass</t>
    <phoneticPr fontId="22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</si>
  <si>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2" type="noConversion"/>
  </si>
  <si>
    <t>Pass율
(계획대비)</t>
    <phoneticPr fontId="22" type="noConversion"/>
  </si>
  <si>
    <t>Pass율
(전체대비)</t>
    <phoneticPr fontId="22" type="noConversion"/>
  </si>
  <si>
    <t>총본수</t>
    <phoneticPr fontId="22" type="noConversion"/>
  </si>
  <si>
    <t>Pass율
(계획대비)</t>
  </si>
  <si>
    <t>Pass율
(전체대비)</t>
  </si>
  <si>
    <t>L3</t>
    <phoneticPr fontId="22" type="noConversion"/>
  </si>
  <si>
    <t>L2</t>
    <phoneticPr fontId="22" type="noConversion"/>
  </si>
  <si>
    <t>결함 (Fail)</t>
    <phoneticPr fontId="22" type="noConversion"/>
  </si>
  <si>
    <t>개선 (Pass)</t>
    <phoneticPr fontId="22" type="noConversion"/>
  </si>
  <si>
    <t>정상 (Pass)</t>
    <phoneticPr fontId="22" type="noConversion"/>
  </si>
  <si>
    <t>서브프로그램 명</t>
    <phoneticPr fontId="22" type="noConversion"/>
  </si>
  <si>
    <t>소요일
(Day)</t>
    <phoneticPr fontId="22" type="noConversion"/>
  </si>
  <si>
    <t>소계</t>
    <phoneticPr fontId="22" type="noConversion"/>
  </si>
  <si>
    <t>권역관리</t>
  </si>
  <si>
    <t>출고진행현황</t>
  </si>
  <si>
    <t>입고관리</t>
    <phoneticPr fontId="22" type="noConversion"/>
  </si>
  <si>
    <t>업무구분</t>
    <phoneticPr fontId="22" type="noConversion"/>
  </si>
  <si>
    <t>결함수준</t>
    <phoneticPr fontId="22" type="noConversion"/>
  </si>
  <si>
    <t>PL검수</t>
    <phoneticPr fontId="22" type="noConversion"/>
  </si>
  <si>
    <t>IT검수</t>
    <phoneticPr fontId="22" type="noConversion"/>
  </si>
  <si>
    <t>조치율</t>
    <phoneticPr fontId="22" type="noConversion"/>
  </si>
  <si>
    <t>◈결함조치 현황</t>
    <phoneticPr fontId="22" type="noConversion"/>
  </si>
  <si>
    <t>결함</t>
    <phoneticPr fontId="22" type="noConversion"/>
  </si>
  <si>
    <t>조치</t>
    <phoneticPr fontId="22" type="noConversion"/>
  </si>
  <si>
    <t>L1</t>
    <phoneticPr fontId="22" type="noConversion"/>
  </si>
  <si>
    <t>L2</t>
    <phoneticPr fontId="22" type="noConversion"/>
  </si>
  <si>
    <t>소계</t>
    <phoneticPr fontId="22" type="noConversion"/>
  </si>
  <si>
    <t>합계</t>
    <phoneticPr fontId="22" type="noConversion"/>
  </si>
  <si>
    <t>◈ 개발자 진척현황</t>
    <phoneticPr fontId="22" type="noConversion"/>
  </si>
  <si>
    <t>개발
시작</t>
    <phoneticPr fontId="22" type="noConversion"/>
  </si>
  <si>
    <t>당일
계획</t>
    <phoneticPr fontId="22" type="noConversion"/>
  </si>
  <si>
    <t>당일계획</t>
    <phoneticPr fontId="22" type="noConversion"/>
  </si>
  <si>
    <t>PL 검수</t>
    <phoneticPr fontId="22" type="noConversion"/>
  </si>
  <si>
    <t>◈ IT검수 진척현황</t>
    <phoneticPr fontId="22" type="noConversion"/>
  </si>
  <si>
    <t>IT 검수</t>
    <phoneticPr fontId="22" type="noConversion"/>
  </si>
  <si>
    <t>결함(L1)</t>
    <phoneticPr fontId="22" type="noConversion"/>
  </si>
  <si>
    <t>결함(L1)</t>
    <phoneticPr fontId="22" type="noConversion"/>
  </si>
  <si>
    <t>L3</t>
    <phoneticPr fontId="22" type="noConversion"/>
  </si>
  <si>
    <t>계</t>
    <phoneticPr fontId="22" type="noConversion"/>
  </si>
  <si>
    <t>미조치</t>
    <phoneticPr fontId="22" type="noConversion"/>
  </si>
  <si>
    <t>L1</t>
    <phoneticPr fontId="22" type="noConversion"/>
  </si>
  <si>
    <t>(건수 : 프로그램 본수)</t>
    <phoneticPr fontId="22" type="noConversion"/>
  </si>
  <si>
    <t>총합계</t>
    <phoneticPr fontId="22" type="noConversion"/>
  </si>
  <si>
    <t>합계</t>
    <phoneticPr fontId="22" type="noConversion"/>
  </si>
  <si>
    <t>결함유형</t>
    <phoneticPr fontId="22" type="noConversion"/>
  </si>
  <si>
    <t>결함등급
(테스트결과)</t>
    <phoneticPr fontId="22" type="noConversion"/>
  </si>
  <si>
    <t>결함</t>
    <phoneticPr fontId="22" type="noConversion"/>
  </si>
  <si>
    <t>개선</t>
    <phoneticPr fontId="22" type="noConversion"/>
  </si>
  <si>
    <t>결함아님</t>
    <phoneticPr fontId="22" type="noConversion"/>
  </si>
  <si>
    <t>L1</t>
    <phoneticPr fontId="22" type="noConversion"/>
  </si>
  <si>
    <t>L2</t>
    <phoneticPr fontId="22" type="noConversion"/>
  </si>
  <si>
    <t>L3</t>
    <phoneticPr fontId="22" type="noConversion"/>
  </si>
  <si>
    <t>정상 (Pass)</t>
  </si>
  <si>
    <t>바로 조치해야할 오류 (Fail)</t>
    <phoneticPr fontId="22" type="noConversion"/>
  </si>
  <si>
    <t>나중에 조치해도 무방한 사소 오류 (Pass)</t>
    <phoneticPr fontId="22" type="noConversion"/>
  </si>
  <si>
    <t>개선요구사항 (Pass)</t>
    <phoneticPr fontId="22" type="noConversion"/>
  </si>
  <si>
    <t>설명</t>
    <phoneticPr fontId="22" type="noConversion"/>
  </si>
  <si>
    <t>소스</t>
    <phoneticPr fontId="22" type="noConversion"/>
  </si>
  <si>
    <t>소스코드의 개발 가이드와 상이</t>
    <phoneticPr fontId="22" type="noConversion"/>
  </si>
  <si>
    <t>결함율</t>
    <phoneticPr fontId="22" type="noConversion"/>
  </si>
  <si>
    <t>L1</t>
    <phoneticPr fontId="22" type="noConversion"/>
  </si>
  <si>
    <t>◈ PL검수 진척현황</t>
    <phoneticPr fontId="22" type="noConversion"/>
  </si>
  <si>
    <t>총합계</t>
    <phoneticPr fontId="22" type="noConversion"/>
  </si>
  <si>
    <t>합계</t>
    <phoneticPr fontId="22" type="noConversion"/>
  </si>
  <si>
    <t>전체</t>
    <phoneticPr fontId="22" type="noConversion"/>
  </si>
  <si>
    <t>지연</t>
    <phoneticPr fontId="22" type="noConversion"/>
  </si>
  <si>
    <t>잔여</t>
    <phoneticPr fontId="22" type="noConversion"/>
  </si>
  <si>
    <t>전주</t>
    <phoneticPr fontId="22" type="noConversion"/>
  </si>
  <si>
    <t>계획</t>
    <phoneticPr fontId="22" type="noConversion"/>
  </si>
  <si>
    <t>실적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</si>
  <si>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</si>
  <si>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금주</t>
    <phoneticPr fontId="22" type="noConversion"/>
  </si>
  <si>
    <t>완료율</t>
    <phoneticPr fontId="22" type="noConversion"/>
  </si>
  <si>
    <t>총 본수</t>
    <phoneticPr fontId="22" type="noConversion"/>
  </si>
  <si>
    <t>입고</t>
    <phoneticPr fontId="22" type="noConversion"/>
  </si>
  <si>
    <t>물류센터관리</t>
  </si>
  <si>
    <t>창고관리</t>
  </si>
  <si>
    <t>존관리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</si>
  <si>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</si>
  <si>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</si>
  <si>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</si>
  <si>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</si>
  <si>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</si>
  <si>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</si>
  <si>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</si>
  <si>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</si>
  <si>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제품-센터별관리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</si>
  <si>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</si>
  <si>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</si>
  <si>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</si>
  <si>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</si>
  <si>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</si>
  <si>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</si>
  <si>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</si>
  <si>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</si>
  <si>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</si>
  <si>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</si>
  <si>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</si>
  <si>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</si>
  <si>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</si>
  <si>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</si>
  <si>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</si>
  <si>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</si>
  <si>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</si>
  <si>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</si>
  <si>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PWMMS109E_T2</t>
  </si>
  <si>
    <t>PWMMS110E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</si>
  <si>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</si>
  <si>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</si>
  <si>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</si>
  <si>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</si>
  <si>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</si>
  <si>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</si>
  <si>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</si>
  <si>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마스터</t>
    <phoneticPr fontId="22" type="noConversion"/>
  </si>
  <si>
    <t>PWMIB101E</t>
  </si>
  <si>
    <t>입하예정등록</t>
  </si>
  <si>
    <t>PWMIB101E_P1</t>
  </si>
  <si>
    <t>입하예정등록 팝업</t>
  </si>
  <si>
    <t>PWMIB103E</t>
  </si>
  <si>
    <t>입하처리-승인</t>
  </si>
  <si>
    <t>PWMIB103E_R1</t>
  </si>
  <si>
    <t>검수지시서</t>
  </si>
  <si>
    <t>PWMIB103E_R2</t>
  </si>
  <si>
    <t>팔레트ID라벨</t>
  </si>
  <si>
    <t>PWMIB104E</t>
  </si>
  <si>
    <t>PWMIB105E</t>
  </si>
  <si>
    <t>PWMIB105E_R1</t>
  </si>
  <si>
    <t>적치지시서</t>
  </si>
  <si>
    <t>PWMIB105E_R2</t>
  </si>
  <si>
    <t>입고라벨</t>
  </si>
  <si>
    <t>PWMIB106E</t>
  </si>
  <si>
    <t>PWMIB107E</t>
  </si>
  <si>
    <t>PWMIB108Q</t>
  </si>
  <si>
    <t>입고조회 - 공급처 별</t>
  </si>
  <si>
    <t>PWMIB109Q</t>
  </si>
  <si>
    <t>입고조회 - 제품별</t>
  </si>
  <si>
    <t>PWMIB110Q</t>
  </si>
  <si>
    <t>입고진행 조회</t>
  </si>
  <si>
    <t>PWMIB120E</t>
  </si>
  <si>
    <t>이고의뢰등록</t>
  </si>
  <si>
    <t>PWMIB120E_P1</t>
  </si>
  <si>
    <t>이고의뢰등록 팝업</t>
  </si>
  <si>
    <t>입고</t>
    <phoneticPr fontId="22" type="noConversion"/>
  </si>
  <si>
    <t>입고</t>
    <phoneticPr fontId="22" type="noConversion"/>
  </si>
  <si>
    <t>마스터</t>
    <phoneticPr fontId="22" type="noConversion"/>
  </si>
  <si>
    <t>공통</t>
    <phoneticPr fontId="22" type="noConversion"/>
  </si>
  <si>
    <t>입하관리</t>
    <phoneticPr fontId="22" type="noConversion"/>
  </si>
  <si>
    <t>입고관리</t>
    <phoneticPr fontId="22" type="noConversion"/>
  </si>
  <si>
    <t>입고현황</t>
    <phoneticPr fontId="22" type="noConversion"/>
  </si>
  <si>
    <t>이고의뢰</t>
    <phoneticPr fontId="22" type="noConversion"/>
  </si>
  <si>
    <t>입하관리</t>
    <phoneticPr fontId="22" type="noConversion"/>
  </si>
  <si>
    <t>입고현황</t>
    <phoneticPr fontId="22" type="noConversion"/>
  </si>
  <si>
    <t>이고의뢰</t>
    <phoneticPr fontId="22" type="noConversion"/>
  </si>
  <si>
    <t>출고</t>
    <phoneticPr fontId="22" type="noConversion"/>
  </si>
  <si>
    <t>PWMOB101E</t>
  </si>
  <si>
    <t>출고예정등록</t>
  </si>
  <si>
    <t>PWMOB101E_P1</t>
  </si>
  <si>
    <t>출고예정등록 팝업</t>
  </si>
  <si>
    <t>PWMOB102E</t>
  </si>
  <si>
    <t>출고승인</t>
  </si>
  <si>
    <t>PWMOB102E_P1</t>
  </si>
  <si>
    <t>출고승인-배분조정 팝업</t>
  </si>
  <si>
    <t>PWMOB103E</t>
  </si>
  <si>
    <t>출고WAVE 기준 설정</t>
  </si>
  <si>
    <t>PWMOB104E</t>
  </si>
  <si>
    <t>출고WAVE</t>
  </si>
  <si>
    <t>PWMOB104E_P1</t>
  </si>
  <si>
    <t>출고WAVE-생성 팝업</t>
  </si>
  <si>
    <t>PWMOB105E</t>
  </si>
  <si>
    <t>출고지시-할당</t>
  </si>
  <si>
    <t>PWMOB105E_R1</t>
  </si>
  <si>
    <t>피킹지시서</t>
  </si>
  <si>
    <t>PWMOB105E_R2</t>
  </si>
  <si>
    <t>Total 피킹지시서</t>
  </si>
  <si>
    <t>PWMOB105E_R3</t>
  </si>
  <si>
    <t>분배지시서</t>
  </si>
  <si>
    <t>PWMOB105E_R4</t>
  </si>
  <si>
    <t>출고라벨</t>
  </si>
  <si>
    <t>PWMOB105E_R5</t>
  </si>
  <si>
    <t>상차지시서</t>
  </si>
  <si>
    <t>PWMOB106E</t>
  </si>
  <si>
    <t>출고피킹</t>
  </si>
  <si>
    <t>출고</t>
    <phoneticPr fontId="22" type="noConversion"/>
  </si>
  <si>
    <t>출고관리</t>
    <phoneticPr fontId="22" type="noConversion"/>
  </si>
  <si>
    <t>출하관리</t>
    <phoneticPr fontId="22" type="noConversion"/>
  </si>
  <si>
    <t>PWMOB107E</t>
  </si>
  <si>
    <t>출고상차</t>
  </si>
  <si>
    <t>PWMOB108E</t>
  </si>
  <si>
    <t>출고확정</t>
  </si>
  <si>
    <t>PWMOB108E_R1</t>
  </si>
  <si>
    <t>출고 거래명세서</t>
  </si>
  <si>
    <t>PWMOB109E</t>
  </si>
  <si>
    <t>출고시리얼스캔</t>
  </si>
  <si>
    <t>PWMOB109E_R1</t>
  </si>
  <si>
    <t>출고 시리얼 리스트</t>
  </si>
  <si>
    <t>PWMOB110E</t>
  </si>
  <si>
    <t>배송완료</t>
  </si>
  <si>
    <t>출고현황</t>
    <phoneticPr fontId="22" type="noConversion"/>
  </si>
  <si>
    <t>PWMOB111Q</t>
  </si>
  <si>
    <t>출고조회- 배송처별</t>
  </si>
  <si>
    <t>PWMOB112Q</t>
  </si>
  <si>
    <t>출고조회- 제품별</t>
  </si>
  <si>
    <t>PWMOB113Q</t>
  </si>
  <si>
    <t>출고조회- 미배송</t>
  </si>
  <si>
    <t>PWMOB114Q</t>
  </si>
  <si>
    <t>PWMRI101E</t>
  </si>
  <si>
    <t>반입예정등록</t>
  </si>
  <si>
    <t>PWMRI101E_P1</t>
  </si>
  <si>
    <t>반입예정등록 팝업</t>
  </si>
  <si>
    <t>PWMRI102E</t>
  </si>
  <si>
    <t>반입검수</t>
  </si>
  <si>
    <t>PWMRI103E</t>
  </si>
  <si>
    <t>반입적치</t>
  </si>
  <si>
    <t>PWMRI104Q</t>
  </si>
  <si>
    <t>반입내역조회</t>
  </si>
  <si>
    <t>PWMRO101E</t>
  </si>
  <si>
    <t>반출예정등록</t>
  </si>
  <si>
    <t>PWMRO101E_P1</t>
  </si>
  <si>
    <t>반출예정등록 팝업</t>
  </si>
  <si>
    <t>PWMRO102E</t>
  </si>
  <si>
    <t>반출지시</t>
  </si>
  <si>
    <t>PWMRO103E</t>
  </si>
  <si>
    <t>반출피킹확정</t>
  </si>
  <si>
    <t>PWMRO104Q</t>
  </si>
  <si>
    <t>반출내역조회</t>
  </si>
  <si>
    <t>반입</t>
    <phoneticPr fontId="22" type="noConversion"/>
  </si>
  <si>
    <t>반입관리</t>
    <phoneticPr fontId="22" type="noConversion"/>
  </si>
  <si>
    <t>반출</t>
    <phoneticPr fontId="22" type="noConversion"/>
  </si>
  <si>
    <t>반출관리</t>
    <phoneticPr fontId="22" type="noConversion"/>
  </si>
  <si>
    <t>PWMST101E</t>
  </si>
  <si>
    <t>재고이동처리</t>
  </si>
  <si>
    <t>PWMST101E_P1</t>
  </si>
  <si>
    <t>재고이동- 수시이동 팝업</t>
  </si>
  <si>
    <t>재고이동- 보충이동 팝업</t>
  </si>
  <si>
    <t>PWMST101E_R1</t>
  </si>
  <si>
    <t>재고이동지시서</t>
  </si>
  <si>
    <t>PWMST102E</t>
  </si>
  <si>
    <t>재고조정처리</t>
  </si>
  <si>
    <t>PWMST102E_P1</t>
  </si>
  <si>
    <t>재고조정 등록 팝업</t>
  </si>
  <si>
    <t>PWMST103E</t>
  </si>
  <si>
    <t>제품코드변경처리</t>
  </si>
  <si>
    <t>PWMST103E_P1</t>
  </si>
  <si>
    <t>제품코드변경 등록 팝업</t>
  </si>
  <si>
    <t>PWMST103E_R1</t>
  </si>
  <si>
    <t>제품코드변경지시서</t>
  </si>
  <si>
    <t>PWMST104E</t>
  </si>
  <si>
    <t>제품상태변경처리</t>
  </si>
  <si>
    <t>PWMST104E_P1</t>
  </si>
  <si>
    <t>제품상태변경 등록 팝업</t>
  </si>
  <si>
    <t>PWMST104E_R1</t>
  </si>
  <si>
    <t>제품상태변경지시서</t>
  </si>
  <si>
    <t>PWMST105E</t>
  </si>
  <si>
    <t>제품LOT변경처리</t>
  </si>
  <si>
    <t>PWMST105E_P1</t>
  </si>
  <si>
    <t>제품LOT변경 등록 팝업</t>
  </si>
  <si>
    <t>PWMST105E_R1</t>
  </si>
  <si>
    <t>제품LOT변경지시서</t>
  </si>
  <si>
    <t>PWMST106E</t>
  </si>
  <si>
    <t>재고보류해제</t>
  </si>
  <si>
    <t>PWMST106E_P1</t>
  </si>
  <si>
    <t>재고보류해제 등록 팝업</t>
  </si>
  <si>
    <t>PWMST107E</t>
  </si>
  <si>
    <t>유통가공처리</t>
  </si>
  <si>
    <t>재고</t>
    <phoneticPr fontId="22" type="noConversion"/>
  </si>
  <si>
    <t>재고관리</t>
    <phoneticPr fontId="22" type="noConversion"/>
  </si>
  <si>
    <t>PWMST107E_P1</t>
  </si>
  <si>
    <t>유통가공 조립등록 팝업</t>
  </si>
  <si>
    <t>PWMST107E_P2</t>
  </si>
  <si>
    <t>유통가공 해체등록 팝업</t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</si>
  <si>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</si>
  <si>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</si>
  <si>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</si>
  <si>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</si>
  <si>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</si>
  <si>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</si>
  <si>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</t>
  </si>
  <si>
    <t>재고실사처리</t>
  </si>
  <si>
    <t>PWMST108E_P1</t>
  </si>
  <si>
    <t>재고실사 대상생성</t>
  </si>
  <si>
    <t>PWMST108E_R1</t>
  </si>
  <si>
    <t>재고실사지시서</t>
  </si>
  <si>
    <t>PWMST108E_R2</t>
  </si>
  <si>
    <t>재고실사차이내역</t>
  </si>
  <si>
    <t>PWMST109E</t>
  </si>
  <si>
    <t>재고수불 이월</t>
  </si>
  <si>
    <t>재고현황</t>
    <phoneticPr fontId="22" type="noConversion"/>
  </si>
  <si>
    <t>PWMST201Q</t>
  </si>
  <si>
    <t>재고현황-제품</t>
  </si>
  <si>
    <t>PWMST202Q</t>
  </si>
  <si>
    <t>재고현황-로케이션</t>
  </si>
  <si>
    <t>PWMST203Q</t>
  </si>
  <si>
    <t>재고현황-LOT</t>
  </si>
  <si>
    <t>PWMST204Q</t>
  </si>
  <si>
    <t>재고현황-통합재고</t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</si>
  <si>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</si>
  <si>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</si>
  <si>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</si>
  <si>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</si>
  <si>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</si>
  <si>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</si>
  <si>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</si>
  <si>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</si>
  <si>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</si>
  <si>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</si>
  <si>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</si>
  <si>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</si>
  <si>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PWMST211Q</t>
  </si>
  <si>
    <t>재고입출고 이력</t>
  </si>
  <si>
    <t>PWMIF101E</t>
  </si>
  <si>
    <t>체크항목등록</t>
  </si>
  <si>
    <t>PWMIF102E</t>
  </si>
  <si>
    <t>코드매핑등록</t>
  </si>
  <si>
    <t>PWMIF103E</t>
  </si>
  <si>
    <t>레이아웃매핑등록</t>
  </si>
  <si>
    <t>PWMIF103E_P1</t>
  </si>
  <si>
    <t>레이아웃매핑등록 팝업</t>
  </si>
  <si>
    <t>PWMIF104E</t>
  </si>
  <si>
    <t>식별자 정보</t>
  </si>
  <si>
    <t>PWMIF105E</t>
  </si>
  <si>
    <t>수신처리</t>
  </si>
  <si>
    <t>PWMIF106E</t>
  </si>
  <si>
    <t>송신처리</t>
  </si>
  <si>
    <t>PWMIF107E</t>
  </si>
  <si>
    <t>송수신스케쥴관리</t>
  </si>
  <si>
    <t>IF</t>
    <phoneticPr fontId="22" type="noConversion"/>
  </si>
  <si>
    <t>인터페이스</t>
    <phoneticPr fontId="22" type="noConversion"/>
  </si>
  <si>
    <t>PWMSM101E</t>
  </si>
  <si>
    <t>운영규칙등록</t>
  </si>
  <si>
    <t>PWMSM102E</t>
  </si>
  <si>
    <t>고객별 운영규칙 설정</t>
  </si>
  <si>
    <t>PWMSM103E</t>
  </si>
  <si>
    <t>전략설정 – LOT</t>
  </si>
  <si>
    <t>PWMSM104E</t>
  </si>
  <si>
    <t>전략설정 – 적치</t>
  </si>
  <si>
    <t>PWMSM104E_P1</t>
  </si>
  <si>
    <t>전략설정 – 적치 팝업</t>
  </si>
  <si>
    <t>PWMSM105E</t>
  </si>
  <si>
    <t>전략설정 – 할당</t>
  </si>
  <si>
    <t>PWMSM105E_P1</t>
  </si>
  <si>
    <t>전략설정 – 할당 팝업</t>
  </si>
  <si>
    <t>PWMSM106E</t>
  </si>
  <si>
    <t>전략설정 – 보충</t>
  </si>
  <si>
    <t>PWMSM106E_P1</t>
  </si>
  <si>
    <t>전략설정 – 보충 팝업</t>
  </si>
  <si>
    <t>PWMSM107E</t>
  </si>
  <si>
    <t>물류센터설정</t>
  </si>
  <si>
    <t>PWMSM108E</t>
  </si>
  <si>
    <t>고객사설정</t>
  </si>
  <si>
    <t>시스템</t>
    <phoneticPr fontId="22" type="noConversion"/>
  </si>
  <si>
    <t>PWMPDAIB101E</t>
  </si>
  <si>
    <t>입고검수</t>
  </si>
  <si>
    <t>PWMPDAIB102E</t>
  </si>
  <si>
    <t>입고적치</t>
  </si>
  <si>
    <t>PWMPDAOB101E</t>
  </si>
  <si>
    <t>PWMPDAOB102E</t>
  </si>
  <si>
    <t>PWMPDAST101E</t>
  </si>
  <si>
    <t>재고이동-지시</t>
  </si>
  <si>
    <t>PWMPDAST102E</t>
  </si>
  <si>
    <t>재고이동-임의이동</t>
  </si>
  <si>
    <t>PWMPDAST103E</t>
  </si>
  <si>
    <t>재고실사</t>
  </si>
  <si>
    <t>PWMPDAST104E</t>
  </si>
  <si>
    <t>재고상태변경</t>
  </si>
  <si>
    <t>PWMPDAST105E</t>
  </si>
  <si>
    <t>파렛트 분할</t>
  </si>
  <si>
    <t>PWMPDAST107E</t>
  </si>
  <si>
    <t>파렛트 병합</t>
  </si>
  <si>
    <t>PWMPDAST108E</t>
  </si>
  <si>
    <t>제품조회</t>
  </si>
  <si>
    <t>PWMPDAST109E</t>
  </si>
  <si>
    <t>제품재고조회</t>
  </si>
  <si>
    <t>PWMPDAST110E</t>
  </si>
  <si>
    <t>로케이션재고조회</t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</si>
  <si>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</si>
  <si>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</si>
  <si>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</si>
  <si>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</si>
  <si>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</si>
  <si>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출고관리</t>
    <phoneticPr fontId="22" type="noConversion"/>
  </si>
  <si>
    <t>출하관리</t>
    <phoneticPr fontId="22" type="noConversion"/>
  </si>
  <si>
    <t>출고현황</t>
    <phoneticPr fontId="22" type="noConversion"/>
  </si>
  <si>
    <t>반입</t>
    <phoneticPr fontId="22" type="noConversion"/>
  </si>
  <si>
    <t>반입관리</t>
    <phoneticPr fontId="22" type="noConversion"/>
  </si>
  <si>
    <t>시스템</t>
    <phoneticPr fontId="22" type="noConversion"/>
  </si>
  <si>
    <t>반출관리</t>
    <phoneticPr fontId="22" type="noConversion"/>
  </si>
  <si>
    <t>재고</t>
    <phoneticPr fontId="22" type="noConversion"/>
  </si>
  <si>
    <t>재고관리</t>
    <phoneticPr fontId="22" type="noConversion"/>
  </si>
  <si>
    <t>재고현황</t>
    <phoneticPr fontId="22" type="noConversion"/>
  </si>
  <si>
    <t>IF</t>
    <phoneticPr fontId="22" type="noConversion"/>
  </si>
  <si>
    <t>인터페이스</t>
    <phoneticPr fontId="22" type="noConversion"/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</si>
  <si>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</si>
  <si>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</si>
  <si>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</si>
  <si>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</si>
  <si>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</si>
  <si>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재고</t>
    <phoneticPr fontId="22" type="noConversion"/>
  </si>
  <si>
    <t>PDA</t>
    <phoneticPr fontId="22" type="noConversion"/>
  </si>
  <si>
    <t>반출</t>
    <phoneticPr fontId="22" type="noConversion"/>
  </si>
  <si>
    <t>반입</t>
    <phoneticPr fontId="22" type="noConversion"/>
  </si>
  <si>
    <t>출고</t>
    <phoneticPr fontId="22" type="noConversion"/>
  </si>
  <si>
    <t>반입</t>
    <phoneticPr fontId="22" type="noConversion"/>
  </si>
  <si>
    <t>반출</t>
    <phoneticPr fontId="22" type="noConversion"/>
  </si>
  <si>
    <t>이종건</t>
    <phoneticPr fontId="22" type="noConversion"/>
  </si>
  <si>
    <t>2016.12..27</t>
    <phoneticPr fontId="22" type="noConversion"/>
  </si>
  <si>
    <t>D4100_개발일정</t>
    <phoneticPr fontId="22" type="noConversion"/>
  </si>
  <si>
    <t>창고관리시스템(PWM) 구축</t>
    <phoneticPr fontId="22" type="noConversion"/>
  </si>
  <si>
    <t>TFT검수</t>
    <phoneticPr fontId="22" type="noConversion"/>
  </si>
  <si>
    <t>TFT검수/승인</t>
    <phoneticPr fontId="22" type="noConversion"/>
  </si>
  <si>
    <t>PWMST110E</t>
    <phoneticPr fontId="22" type="noConversion"/>
  </si>
  <si>
    <t>PWMST110E_P1</t>
    <phoneticPr fontId="22" type="noConversion"/>
  </si>
  <si>
    <t>파렛트변경처리</t>
    <phoneticPr fontId="22" type="noConversion"/>
  </si>
  <si>
    <t>파렛트변경 등록 팝업</t>
    <phoneticPr fontId="22" type="noConversion"/>
  </si>
  <si>
    <t>입고시리얼스캔</t>
    <phoneticPr fontId="22" type="noConversion"/>
  </si>
  <si>
    <t>입고적치</t>
    <phoneticPr fontId="22" type="noConversion"/>
  </si>
  <si>
    <t>입하검수</t>
    <phoneticPr fontId="22" type="noConversion"/>
  </si>
  <si>
    <t>입고지시</t>
    <phoneticPr fontId="22" type="noConversion"/>
  </si>
  <si>
    <t>김민수</t>
    <phoneticPr fontId="22" type="noConversion"/>
  </si>
  <si>
    <t>김민수</t>
    <phoneticPr fontId="22" type="noConversion"/>
  </si>
  <si>
    <t>이성국</t>
    <phoneticPr fontId="22" type="noConversion"/>
  </si>
  <si>
    <t>이성국</t>
    <phoneticPr fontId="22" type="noConversion"/>
  </si>
  <si>
    <t>이성국</t>
    <phoneticPr fontId="22" type="noConversion"/>
  </si>
  <si>
    <t>김경우</t>
    <phoneticPr fontId="22" type="noConversion"/>
  </si>
  <si>
    <t>김민수</t>
    <phoneticPr fontId="22" type="noConversion"/>
  </si>
  <si>
    <t>이성국</t>
    <phoneticPr fontId="22" type="noConversion"/>
  </si>
  <si>
    <t>김경우</t>
    <phoneticPr fontId="22" type="noConversion"/>
  </si>
  <si>
    <t>◈ TFT검수 진척현황</t>
  </si>
  <si>
    <t>TFT 검수</t>
  </si>
  <si>
    <t>합계</t>
    <phoneticPr fontId="22" type="noConversion"/>
  </si>
  <si>
    <t>개발담당</t>
    <phoneticPr fontId="22" type="noConversion"/>
  </si>
  <si>
    <t>김민수R</t>
    <phoneticPr fontId="22" type="noConversion"/>
  </si>
  <si>
    <t>이성국R</t>
    <phoneticPr fontId="22" type="noConversion"/>
  </si>
  <si>
    <t>김민수R</t>
    <phoneticPr fontId="22" type="noConversion"/>
  </si>
  <si>
    <t>이성국R</t>
    <phoneticPr fontId="22" type="noConversion"/>
  </si>
  <si>
    <t>본수</t>
    <phoneticPr fontId="71" type="noConversion"/>
  </si>
  <si>
    <t>탭</t>
    <phoneticPr fontId="71" type="noConversion"/>
  </si>
  <si>
    <t>팝업</t>
    <phoneticPr fontId="71" type="noConversion"/>
  </si>
  <si>
    <t>레포트</t>
    <phoneticPr fontId="71" type="noConversion"/>
  </si>
  <si>
    <t>로직</t>
    <phoneticPr fontId="71" type="noConversion"/>
  </si>
  <si>
    <t>화면</t>
    <phoneticPr fontId="71" type="noConversion"/>
  </si>
  <si>
    <t>MS</t>
    <phoneticPr fontId="71" type="noConversion"/>
  </si>
  <si>
    <t>마스터</t>
    <phoneticPr fontId="71" type="noConversion"/>
  </si>
  <si>
    <t>김민수D, 이성국D</t>
    <phoneticPr fontId="71" type="noConversion"/>
  </si>
  <si>
    <t>IB</t>
    <phoneticPr fontId="71" type="noConversion"/>
  </si>
  <si>
    <t>입고</t>
    <phoneticPr fontId="71" type="noConversion"/>
  </si>
  <si>
    <t>이종혁K</t>
    <phoneticPr fontId="71" type="noConversion"/>
  </si>
  <si>
    <t>김민수D</t>
    <phoneticPr fontId="71" type="noConversion"/>
  </si>
  <si>
    <t>OB</t>
    <phoneticPr fontId="71" type="noConversion"/>
  </si>
  <si>
    <t>출고</t>
    <phoneticPr fontId="71" type="noConversion"/>
  </si>
  <si>
    <t>이성국D</t>
    <phoneticPr fontId="71" type="noConversion"/>
  </si>
  <si>
    <t>RI</t>
    <phoneticPr fontId="71" type="noConversion"/>
  </si>
  <si>
    <t>반입</t>
    <phoneticPr fontId="71" type="noConversion"/>
  </si>
  <si>
    <t>김민수D</t>
    <phoneticPr fontId="71" type="noConversion"/>
  </si>
  <si>
    <t>RO</t>
    <phoneticPr fontId="71" type="noConversion"/>
  </si>
  <si>
    <t>반출</t>
    <phoneticPr fontId="71" type="noConversion"/>
  </si>
  <si>
    <t>이성국D</t>
    <phoneticPr fontId="71" type="noConversion"/>
  </si>
  <si>
    <t>ST</t>
    <phoneticPr fontId="71" type="noConversion"/>
  </si>
  <si>
    <t>재고</t>
    <phoneticPr fontId="71" type="noConversion"/>
  </si>
  <si>
    <t>김민수D,(공통:이종혁K)</t>
    <phoneticPr fontId="71" type="noConversion"/>
  </si>
  <si>
    <t>IF</t>
    <phoneticPr fontId="71" type="noConversion"/>
  </si>
  <si>
    <t>인터페이스</t>
    <phoneticPr fontId="71" type="noConversion"/>
  </si>
  <si>
    <t>이종혁K</t>
    <phoneticPr fontId="71" type="noConversion"/>
  </si>
  <si>
    <t>SYS</t>
    <phoneticPr fontId="71" type="noConversion"/>
  </si>
  <si>
    <t>시스템</t>
    <phoneticPr fontId="71" type="noConversion"/>
  </si>
  <si>
    <t>소계</t>
    <phoneticPr fontId="71" type="noConversion"/>
  </si>
  <si>
    <t>PDA</t>
    <phoneticPr fontId="71" type="noConversion"/>
  </si>
  <si>
    <t>모바일</t>
    <phoneticPr fontId="71" type="noConversion"/>
  </si>
  <si>
    <t>이종혁K</t>
    <phoneticPr fontId="71" type="noConversion"/>
  </si>
  <si>
    <t>김경우선임</t>
    <phoneticPr fontId="71" type="noConversion"/>
  </si>
  <si>
    <t>합계</t>
    <phoneticPr fontId="71" type="noConversion"/>
  </si>
  <si>
    <t>2월</t>
    <phoneticPr fontId="22" type="noConversion"/>
  </si>
  <si>
    <t>3월</t>
  </si>
  <si>
    <t>4월</t>
  </si>
  <si>
    <t>소계</t>
    <phoneticPr fontId="22" type="noConversion"/>
  </si>
  <si>
    <t>5월</t>
    <phoneticPr fontId="22" type="noConversion"/>
  </si>
  <si>
    <t>근무일수</t>
    <phoneticPr fontId="22" type="noConversion"/>
  </si>
  <si>
    <t>월</t>
    <phoneticPr fontId="22" type="noConversion"/>
  </si>
  <si>
    <t>조회</t>
    <phoneticPr fontId="22" type="noConversion"/>
  </si>
  <si>
    <t>PL담당</t>
    <phoneticPr fontId="22" type="noConversion"/>
  </si>
  <si>
    <t>IT담당</t>
    <phoneticPr fontId="22" type="noConversion"/>
  </si>
  <si>
    <t>TFT담당</t>
    <phoneticPr fontId="22" type="noConversion"/>
  </si>
  <si>
    <t>계획
소요일</t>
    <phoneticPr fontId="22" type="noConversion"/>
  </si>
  <si>
    <t>계획</t>
    <phoneticPr fontId="22" type="noConversion"/>
  </si>
  <si>
    <t>1M/D당본수</t>
    <phoneticPr fontId="22" type="noConversion"/>
  </si>
  <si>
    <t>1본당M/D</t>
    <phoneticPr fontId="22" type="noConversion"/>
  </si>
  <si>
    <t>계획</t>
    <phoneticPr fontId="22" type="noConversion"/>
  </si>
  <si>
    <t>2017.02.17</t>
    <phoneticPr fontId="22" type="noConversion"/>
  </si>
  <si>
    <t>2017.02.20</t>
    <phoneticPr fontId="22" type="noConversion"/>
  </si>
  <si>
    <t>2017.02.21</t>
  </si>
  <si>
    <t>2017.02.22</t>
  </si>
  <si>
    <t>2017.02.23</t>
  </si>
  <si>
    <t>2017.02.24</t>
  </si>
  <si>
    <t>2017.02.27</t>
    <phoneticPr fontId="22" type="noConversion"/>
  </si>
  <si>
    <t>2017.02.28</t>
    <phoneticPr fontId="22" type="noConversion"/>
  </si>
  <si>
    <t>2017.03.02</t>
    <phoneticPr fontId="22" type="noConversion"/>
  </si>
  <si>
    <t>2017.03.03</t>
    <phoneticPr fontId="22" type="noConversion"/>
  </si>
  <si>
    <t>2017.03.06</t>
    <phoneticPr fontId="22" type="noConversion"/>
  </si>
  <si>
    <t>2017.03.07</t>
    <phoneticPr fontId="22" type="noConversion"/>
  </si>
  <si>
    <t>2017.03.08</t>
    <phoneticPr fontId="22" type="noConversion"/>
  </si>
  <si>
    <t>2017.03.09</t>
  </si>
  <si>
    <t>2017.03.10</t>
    <phoneticPr fontId="22" type="noConversion"/>
  </si>
  <si>
    <t>2017.03.13</t>
    <phoneticPr fontId="22" type="noConversion"/>
  </si>
  <si>
    <t>2017.03.14</t>
    <phoneticPr fontId="22" type="noConversion"/>
  </si>
  <si>
    <t>2017.03.15</t>
    <phoneticPr fontId="22" type="noConversion"/>
  </si>
  <si>
    <t>2017.03.16</t>
    <phoneticPr fontId="22" type="noConversion"/>
  </si>
  <si>
    <t>2017.03.17</t>
  </si>
  <si>
    <t>2017.03.20</t>
    <phoneticPr fontId="22" type="noConversion"/>
  </si>
  <si>
    <t>2017.03.21</t>
  </si>
  <si>
    <t>2017.03.22</t>
    <phoneticPr fontId="22" type="noConversion"/>
  </si>
  <si>
    <t>2017.03.23</t>
  </si>
  <si>
    <t>2017.03.24</t>
    <phoneticPr fontId="22" type="noConversion"/>
  </si>
  <si>
    <t>2017.03.27</t>
    <phoneticPr fontId="22" type="noConversion"/>
  </si>
  <si>
    <t>2017.03.28</t>
    <phoneticPr fontId="22" type="noConversion"/>
  </si>
  <si>
    <t>2017.03.29</t>
    <phoneticPr fontId="22" type="noConversion"/>
  </si>
  <si>
    <t>2017.03.09</t>
    <phoneticPr fontId="22" type="noConversion"/>
  </si>
  <si>
    <t>2017.03.17</t>
    <phoneticPr fontId="22" type="noConversion"/>
  </si>
  <si>
    <t>2017.03.21</t>
    <phoneticPr fontId="22" type="noConversion"/>
  </si>
  <si>
    <t>2017.03.23</t>
    <phoneticPr fontId="22" type="noConversion"/>
  </si>
  <si>
    <t>2017.03.30</t>
    <phoneticPr fontId="22" type="noConversion"/>
  </si>
  <si>
    <t>2017.03.31</t>
    <phoneticPr fontId="22" type="noConversion"/>
  </si>
  <si>
    <t>2017.04.03</t>
    <phoneticPr fontId="22" type="noConversion"/>
  </si>
  <si>
    <t>2017.04.04</t>
    <phoneticPr fontId="22" type="noConversion"/>
  </si>
  <si>
    <t>2017.04.05</t>
    <phoneticPr fontId="22" type="noConversion"/>
  </si>
  <si>
    <t>2017.04.06</t>
    <phoneticPr fontId="22" type="noConversion"/>
  </si>
  <si>
    <t>2017.04.07</t>
    <phoneticPr fontId="22" type="noConversion"/>
  </si>
  <si>
    <t>2017.03.31</t>
  </si>
  <si>
    <t>2017.04.04</t>
    <phoneticPr fontId="22" type="noConversion"/>
  </si>
  <si>
    <t>2017.04.07</t>
    <phoneticPr fontId="22" type="noConversion"/>
  </si>
  <si>
    <t>2017.04.10</t>
    <phoneticPr fontId="22" type="noConversion"/>
  </si>
  <si>
    <t>2017.04.11</t>
    <phoneticPr fontId="22" type="noConversion"/>
  </si>
  <si>
    <t>2017.04.12</t>
    <phoneticPr fontId="22" type="noConversion"/>
  </si>
  <si>
    <t>2017.04.13</t>
    <phoneticPr fontId="22" type="noConversion"/>
  </si>
  <si>
    <t>2017.04.14</t>
    <phoneticPr fontId="22" type="noConversion"/>
  </si>
  <si>
    <t>2017.04.17</t>
    <phoneticPr fontId="22" type="noConversion"/>
  </si>
  <si>
    <t>2017.04.18</t>
    <phoneticPr fontId="22" type="noConversion"/>
  </si>
  <si>
    <t>2017.04.19</t>
    <phoneticPr fontId="22" type="noConversion"/>
  </si>
  <si>
    <t>2017.04.20</t>
    <phoneticPr fontId="22" type="noConversion"/>
  </si>
  <si>
    <t>2017.04.21</t>
    <phoneticPr fontId="22" type="noConversion"/>
  </si>
  <si>
    <t>2017.04.24</t>
    <phoneticPr fontId="22" type="noConversion"/>
  </si>
  <si>
    <t>2017.04.25</t>
    <phoneticPr fontId="22" type="noConversion"/>
  </si>
  <si>
    <t>2017.04.25</t>
    <phoneticPr fontId="22" type="noConversion"/>
  </si>
  <si>
    <t>2017.04.26</t>
    <phoneticPr fontId="22" type="noConversion"/>
  </si>
  <si>
    <t>2017.04.27</t>
    <phoneticPr fontId="22" type="noConversion"/>
  </si>
  <si>
    <t>2017.04.28</t>
    <phoneticPr fontId="22" type="noConversion"/>
  </si>
  <si>
    <t>2017.04.28</t>
    <phoneticPr fontId="22" type="noConversion"/>
  </si>
  <si>
    <t>2017.05.02</t>
    <phoneticPr fontId="22" type="noConversion"/>
  </si>
  <si>
    <t>2017.05.04</t>
    <phoneticPr fontId="22" type="noConversion"/>
  </si>
  <si>
    <t>2017.05.08</t>
    <phoneticPr fontId="22" type="noConversion"/>
  </si>
  <si>
    <t>2017.05.09</t>
    <phoneticPr fontId="22" type="noConversion"/>
  </si>
  <si>
    <t>2017.05.10</t>
    <phoneticPr fontId="22" type="noConversion"/>
  </si>
  <si>
    <t>2017.05.11</t>
    <phoneticPr fontId="22" type="noConversion"/>
  </si>
  <si>
    <t>2017.05.12</t>
    <phoneticPr fontId="22" type="noConversion"/>
  </si>
  <si>
    <t>2017.05.12</t>
    <phoneticPr fontId="22" type="noConversion"/>
  </si>
  <si>
    <t>2017.05.15</t>
    <phoneticPr fontId="22" type="noConversion"/>
  </si>
  <si>
    <t>2017.05.16</t>
    <phoneticPr fontId="22" type="noConversion"/>
  </si>
  <si>
    <t>2017.05.17</t>
    <phoneticPr fontId="22" type="noConversion"/>
  </si>
  <si>
    <t>2017.05.17</t>
    <phoneticPr fontId="22" type="noConversion"/>
  </si>
  <si>
    <t>2017.05.18</t>
    <phoneticPr fontId="22" type="noConversion"/>
  </si>
  <si>
    <t>2017.05.19</t>
    <phoneticPr fontId="22" type="noConversion"/>
  </si>
  <si>
    <t>2017.05.22</t>
    <phoneticPr fontId="22" type="noConversion"/>
  </si>
  <si>
    <t>2017.05.23</t>
    <phoneticPr fontId="22" type="noConversion"/>
  </si>
  <si>
    <t>2017.05.24</t>
    <phoneticPr fontId="22" type="noConversion"/>
  </si>
  <si>
    <t>2017.05.25</t>
    <phoneticPr fontId="22" type="noConversion"/>
  </si>
  <si>
    <t>2017.04.14</t>
    <phoneticPr fontId="22" type="noConversion"/>
  </si>
  <si>
    <t>2017.04.17</t>
    <phoneticPr fontId="22" type="noConversion"/>
  </si>
  <si>
    <t>2017.04.19</t>
    <phoneticPr fontId="22" type="noConversion"/>
  </si>
  <si>
    <t>2017.04.20</t>
  </si>
  <si>
    <t>2017.04.21</t>
  </si>
  <si>
    <t>2017.04.25</t>
  </si>
  <si>
    <t>1차</t>
    <phoneticPr fontId="22" type="noConversion"/>
  </si>
  <si>
    <t>2차</t>
    <phoneticPr fontId="22" type="noConversion"/>
  </si>
  <si>
    <t>미정</t>
    <phoneticPr fontId="22" type="noConversion"/>
  </si>
  <si>
    <t>화면</t>
    <phoneticPr fontId="71" type="noConversion"/>
  </si>
  <si>
    <t>◈ 주간 진척현황</t>
    <phoneticPr fontId="22" type="noConversion"/>
  </si>
  <si>
    <t>김민수Q</t>
  </si>
  <si>
    <t>이성국Q</t>
  </si>
  <si>
    <t>김민수Q</t>
    <phoneticPr fontId="22" type="noConversion"/>
  </si>
  <si>
    <t>이성국Q</t>
    <phoneticPr fontId="22" type="noConversion"/>
  </si>
  <si>
    <t>2017.02.17</t>
    <phoneticPr fontId="22" type="noConversion"/>
  </si>
  <si>
    <t>2017.02.20</t>
    <phoneticPr fontId="22" type="noConversion"/>
  </si>
  <si>
    <t>1차계획</t>
    <phoneticPr fontId="22" type="noConversion"/>
  </si>
  <si>
    <t>1차본수</t>
    <phoneticPr fontId="22" type="noConversion"/>
  </si>
  <si>
    <t>1차</t>
    <phoneticPr fontId="22" type="noConversion"/>
  </si>
  <si>
    <t>2차</t>
    <phoneticPr fontId="22" type="noConversion"/>
  </si>
  <si>
    <t>2차계획</t>
    <phoneticPr fontId="22" type="noConversion"/>
  </si>
  <si>
    <t>이종혁</t>
    <phoneticPr fontId="22" type="noConversion"/>
  </si>
  <si>
    <t>2017.03.08</t>
    <phoneticPr fontId="22" type="noConversion"/>
  </si>
  <si>
    <t>2017.03.10</t>
    <phoneticPr fontId="22" type="noConversion"/>
  </si>
  <si>
    <t>2017.03.14</t>
    <phoneticPr fontId="22" type="noConversion"/>
  </si>
  <si>
    <t>2017.03.16</t>
    <phoneticPr fontId="22" type="noConversion"/>
  </si>
  <si>
    <t>2017.03.16</t>
    <phoneticPr fontId="22" type="noConversion"/>
  </si>
  <si>
    <t>이종혁</t>
    <phoneticPr fontId="22" type="noConversion"/>
  </si>
  <si>
    <t>2017.03.18</t>
    <phoneticPr fontId="22" type="noConversion"/>
  </si>
  <si>
    <t>2017.03.18</t>
    <phoneticPr fontId="22" type="noConversion"/>
  </si>
  <si>
    <t>2017.03.22</t>
    <phoneticPr fontId="22" type="noConversion"/>
  </si>
  <si>
    <t>2017.03.22</t>
    <phoneticPr fontId="22" type="noConversion"/>
  </si>
  <si>
    <t>2017.03.28</t>
    <phoneticPr fontId="22" type="noConversion"/>
  </si>
  <si>
    <t>이종혁</t>
    <phoneticPr fontId="22" type="noConversion"/>
  </si>
  <si>
    <t>2017.03.30</t>
    <phoneticPr fontId="22" type="noConversion"/>
  </si>
  <si>
    <t>2017.04.12</t>
    <phoneticPr fontId="22" type="noConversion"/>
  </si>
  <si>
    <t>2017.04.12</t>
    <phoneticPr fontId="22" type="noConversion"/>
  </si>
  <si>
    <t>2017.04.12</t>
    <phoneticPr fontId="22" type="noConversion"/>
  </si>
  <si>
    <t>2017.03.08</t>
    <phoneticPr fontId="22" type="noConversion"/>
  </si>
  <si>
    <t>2017.03.10</t>
    <phoneticPr fontId="22" type="noConversion"/>
  </si>
  <si>
    <t>2017.03.14</t>
    <phoneticPr fontId="22" type="noConversion"/>
  </si>
  <si>
    <t>2017.03.17</t>
    <phoneticPr fontId="22" type="noConversion"/>
  </si>
  <si>
    <t>2017.03.17</t>
    <phoneticPr fontId="22" type="noConversion"/>
  </si>
  <si>
    <t>2017.03.18</t>
    <phoneticPr fontId="22" type="noConversion"/>
  </si>
  <si>
    <t>2017.03.23</t>
    <phoneticPr fontId="22" type="noConversion"/>
  </si>
  <si>
    <t>2017.03.23</t>
    <phoneticPr fontId="22" type="noConversion"/>
  </si>
  <si>
    <t>2017.03.25</t>
    <phoneticPr fontId="22" type="noConversion"/>
  </si>
  <si>
    <t>2017.03.29</t>
    <phoneticPr fontId="22" type="noConversion"/>
  </si>
  <si>
    <t>2017.03.29</t>
    <phoneticPr fontId="22" type="noConversion"/>
  </si>
  <si>
    <t>2017.04.12</t>
    <phoneticPr fontId="22" type="noConversion"/>
  </si>
  <si>
    <t>2017.04.13</t>
    <phoneticPr fontId="22" type="noConversion"/>
  </si>
  <si>
    <t>2017.04.14</t>
    <phoneticPr fontId="22" type="noConversion"/>
  </si>
  <si>
    <t>2017.04.17</t>
    <phoneticPr fontId="22" type="noConversion"/>
  </si>
  <si>
    <t>2017.04.17</t>
    <phoneticPr fontId="22" type="noConversion"/>
  </si>
  <si>
    <t>2017.02.28</t>
    <phoneticPr fontId="22" type="noConversion"/>
  </si>
  <si>
    <t>2017.02.27</t>
    <phoneticPr fontId="22" type="noConversion"/>
  </si>
  <si>
    <t>2017.02.28</t>
    <phoneticPr fontId="22" type="noConversion"/>
  </si>
  <si>
    <t>2017.02.27</t>
    <phoneticPr fontId="22" type="noConversion"/>
  </si>
  <si>
    <t>2017.03.10</t>
    <phoneticPr fontId="22" type="noConversion"/>
  </si>
  <si>
    <t>2017.02.28</t>
    <phoneticPr fontId="22" type="noConversion"/>
  </si>
  <si>
    <t>등록 팝업</t>
    <phoneticPr fontId="22" type="noConversion"/>
  </si>
  <si>
    <t>등록 팝업</t>
    <phoneticPr fontId="22" type="noConversion"/>
  </si>
  <si>
    <t>등록 팝업</t>
    <phoneticPr fontId="22" type="noConversion"/>
  </si>
  <si>
    <t>2017.03.02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</si>
</sst>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0.00_ "/>
    <numFmt numFmtId="199" formatCode="mm&quot;월&quot;\ dd&quot;일&quot;"/>
  </numFmts>
  <fonts count="7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b/>
      <sz val="10"/>
      <color rgb="FF00CC0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00">
    <xf numFmtId="0" fontId="0" fillId="0" borderId="0"/>
    <xf numFmtId="0" fontId="25" fillId="0" borderId="0" applyNumberFormat="0" applyFill="0" applyBorder="0" applyAlignment="0" applyProtection="0"/>
    <xf numFmtId="0" fontId="14" fillId="0" borderId="0"/>
    <xf numFmtId="0" fontId="14" fillId="0" borderId="0"/>
    <xf numFmtId="0" fontId="26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13" fillId="0" borderId="0"/>
    <xf numFmtId="0" fontId="28" fillId="0" borderId="0" applyFill="0" applyBorder="0" applyAlignment="0"/>
    <xf numFmtId="0" fontId="12" fillId="0" borderId="0" applyFill="0" applyBorder="0" applyAlignment="0"/>
    <xf numFmtId="0" fontId="16" fillId="0" borderId="0"/>
    <xf numFmtId="41" fontId="11" fillId="0" borderId="0" applyFont="0" applyFill="0" applyBorder="0" applyAlignment="0" applyProtection="0">
      <alignment vertical="center"/>
    </xf>
    <xf numFmtId="183" fontId="12" fillId="0" borderId="0"/>
    <xf numFmtId="184" fontId="12" fillId="0" borderId="0"/>
    <xf numFmtId="183" fontId="12" fillId="0" borderId="0"/>
    <xf numFmtId="184" fontId="12" fillId="0" borderId="0"/>
    <xf numFmtId="177" fontId="13" fillId="0" borderId="0" applyFont="0" applyFill="0" applyBorder="0" applyAlignment="0" applyProtection="0"/>
    <xf numFmtId="0" fontId="29" fillId="0" borderId="0" applyNumberFormat="0" applyAlignment="0">
      <alignment horizontal="left"/>
    </xf>
    <xf numFmtId="185" fontId="15" fillId="0" borderId="0" applyFont="0" applyFill="0" applyBorder="0" applyAlignment="0" applyProtection="0"/>
    <xf numFmtId="186" fontId="13" fillId="0" borderId="0" applyFont="0" applyFill="0" applyBorder="0" applyAlignment="0" applyProtection="0"/>
    <xf numFmtId="181" fontId="12" fillId="0" borderId="0"/>
    <xf numFmtId="187" fontId="12" fillId="0" borderId="0"/>
    <xf numFmtId="181" fontId="12" fillId="0" borderId="0"/>
    <xf numFmtId="187" fontId="12" fillId="0" borderId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2" fontId="12" fillId="0" borderId="0"/>
    <xf numFmtId="190" fontId="12" fillId="0" borderId="0"/>
    <xf numFmtId="182" fontId="12" fillId="0" borderId="0"/>
    <xf numFmtId="190" fontId="12" fillId="0" borderId="0"/>
    <xf numFmtId="0" fontId="30" fillId="0" borderId="0" applyNumberFormat="0" applyAlignment="0">
      <alignment horizontal="left"/>
    </xf>
    <xf numFmtId="38" fontId="17" fillId="2" borderId="0" applyNumberFormat="0" applyBorder="0" applyAlignment="0" applyProtection="0"/>
    <xf numFmtId="38" fontId="17" fillId="2" borderId="0" applyNumberFormat="0" applyBorder="0" applyAlignment="0" applyProtection="0"/>
    <xf numFmtId="38" fontId="17" fillId="3" borderId="0" applyNumberFormat="0" applyBorder="0" applyAlignment="0" applyProtection="0"/>
    <xf numFmtId="0" fontId="18" fillId="0" borderId="0">
      <alignment horizontal="left"/>
    </xf>
    <xf numFmtId="0" fontId="17" fillId="0" borderId="1" applyBorder="0">
      <alignment horizontal="center" vertical="center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20" fillId="0" borderId="0" applyNumberFormat="0" applyFill="0" applyBorder="0" applyAlignment="0" applyProtection="0"/>
    <xf numFmtId="10" fontId="17" fillId="2" borderId="4" applyNumberFormat="0" applyBorder="0" applyAlignment="0" applyProtection="0"/>
    <xf numFmtId="10" fontId="17" fillId="2" borderId="4" applyNumberFormat="0" applyBorder="0" applyAlignment="0" applyProtection="0"/>
    <xf numFmtId="10" fontId="17" fillId="4" borderId="4" applyNumberFormat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1" fillId="0" borderId="5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0" fontId="12" fillId="0" borderId="0"/>
    <xf numFmtId="191" fontId="14" fillId="0" borderId="0"/>
    <xf numFmtId="192" fontId="12" fillId="0" borderId="0"/>
    <xf numFmtId="180" fontId="12" fillId="0" borderId="0"/>
    <xf numFmtId="192" fontId="12" fillId="0" borderId="0"/>
    <xf numFmtId="0" fontId="13" fillId="0" borderId="0"/>
    <xf numFmtId="10" fontId="13" fillId="0" borderId="0" applyFont="0" applyFill="0" applyBorder="0" applyAlignment="0" applyProtection="0"/>
    <xf numFmtId="0" fontId="31" fillId="0" borderId="0" applyNumberFormat="0" applyFill="0" applyBorder="0" applyAlignment="0" applyProtection="0">
      <alignment horizontal="left"/>
    </xf>
    <xf numFmtId="0" fontId="13" fillId="0" borderId="0"/>
    <xf numFmtId="0" fontId="21" fillId="0" borderId="0"/>
    <xf numFmtId="40" fontId="32" fillId="0" borderId="0" applyBorder="0">
      <alignment horizontal="right"/>
    </xf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33" fillId="0" borderId="0" applyFont="0" applyFill="0" applyBorder="0" applyAlignment="0" applyProtection="0">
      <alignment horizontal="right"/>
      <protection hidden="1"/>
    </xf>
    <xf numFmtId="0" fontId="34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35" fillId="0" borderId="0"/>
    <xf numFmtId="0" fontId="36" fillId="0" borderId="0"/>
    <xf numFmtId="41" fontId="12" fillId="0" borderId="0" applyFont="0" applyFill="0" applyBorder="0" applyAlignment="0" applyProtection="0">
      <alignment vertical="center"/>
    </xf>
    <xf numFmtId="0" fontId="13" fillId="0" borderId="0"/>
    <xf numFmtId="0" fontId="14" fillId="0" borderId="0"/>
    <xf numFmtId="0" fontId="26" fillId="0" borderId="0"/>
    <xf numFmtId="0" fontId="13" fillId="0" borderId="0"/>
    <xf numFmtId="0" fontId="26" fillId="0" borderId="0"/>
    <xf numFmtId="0" fontId="37" fillId="0" borderId="6"/>
    <xf numFmtId="176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40" fillId="0" borderId="0">
      <alignment vertical="center"/>
    </xf>
    <xf numFmtId="0" fontId="13" fillId="0" borderId="0"/>
    <xf numFmtId="0" fontId="13" fillId="0" borderId="0"/>
    <xf numFmtId="0" fontId="40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1" fillId="0" borderId="0">
      <alignment vertical="center"/>
    </xf>
    <xf numFmtId="0" fontId="12" fillId="0" borderId="0"/>
    <xf numFmtId="0" fontId="40" fillId="0" borderId="0">
      <alignment vertical="center"/>
    </xf>
    <xf numFmtId="0" fontId="1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8" fillId="0" borderId="0"/>
    <xf numFmtId="0" fontId="6" fillId="0" borderId="0">
      <alignment vertical="center"/>
    </xf>
    <xf numFmtId="0" fontId="12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28" fillId="0" borderId="0"/>
    <xf numFmtId="0" fontId="28" fillId="0" borderId="0"/>
    <xf numFmtId="0" fontId="40" fillId="0" borderId="0">
      <alignment vertical="center"/>
    </xf>
    <xf numFmtId="0" fontId="28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 applyNumberForma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6" borderId="32" applyNumberFormat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2" fillId="37" borderId="33" applyNumberFormat="0" applyFon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9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23" borderId="3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37" applyNumberFormat="0" applyFill="0" applyAlignment="0" applyProtection="0">
      <alignment vertical="center"/>
    </xf>
    <xf numFmtId="0" fontId="63" fillId="0" borderId="38" applyNumberFormat="0" applyFill="0" applyAlignment="0" applyProtection="0">
      <alignment vertical="center"/>
    </xf>
    <xf numFmtId="0" fontId="64" fillId="0" borderId="3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6" fillId="36" borderId="40" applyNumberFormat="0" applyAlignment="0" applyProtection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73">
    <xf numFmtId="0" fontId="0" fillId="0" borderId="0" xfId="0"/>
    <xf numFmtId="0" fontId="23" fillId="0" borderId="0" xfId="104" applyFont="1" applyAlignment="1">
      <alignment vertical="center"/>
    </xf>
    <xf numFmtId="0" fontId="23" fillId="0" borderId="0" xfId="104" applyFont="1" applyAlignment="1">
      <alignment horizontal="center" vertical="center"/>
    </xf>
    <xf numFmtId="0" fontId="41" fillId="0" borderId="0" xfId="104" applyFont="1" applyAlignment="1">
      <alignment vertical="center"/>
    </xf>
    <xf numFmtId="0" fontId="43" fillId="0" borderId="0" xfId="104" applyFont="1" applyAlignment="1">
      <alignment vertical="center"/>
    </xf>
    <xf numFmtId="0" fontId="42" fillId="0" borderId="0" xfId="104" applyFont="1" applyAlignment="1"/>
    <xf numFmtId="49" fontId="42" fillId="0" borderId="0" xfId="104" applyNumberFormat="1" applyFont="1" applyAlignment="1"/>
    <xf numFmtId="9" fontId="42" fillId="0" borderId="0" xfId="73" applyFont="1" applyAlignment="1"/>
    <xf numFmtId="9" fontId="41" fillId="0" borderId="0" xfId="73" applyFont="1" applyAlignment="1">
      <alignment vertical="center"/>
    </xf>
    <xf numFmtId="0" fontId="44" fillId="10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0" fontId="44" fillId="12" borderId="4" xfId="104" applyNumberFormat="1" applyFont="1" applyFill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9" fontId="23" fillId="0" borderId="0" xfId="73" applyFont="1" applyAlignment="1">
      <alignment vertical="center"/>
    </xf>
    <xf numFmtId="9" fontId="23" fillId="0" borderId="0" xfId="73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195" fontId="44" fillId="16" borderId="4" xfId="104" applyNumberFormat="1" applyFont="1" applyFill="1" applyBorder="1" applyAlignment="1">
      <alignment horizontal="center" vertical="center"/>
    </xf>
    <xf numFmtId="9" fontId="42" fillId="17" borderId="4" xfId="73" applyFont="1" applyFill="1" applyBorder="1" applyAlignment="1">
      <alignment horizontal="center" vertical="center"/>
    </xf>
    <xf numFmtId="0" fontId="42" fillId="0" borderId="0" xfId="104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8" fillId="0" borderId="0" xfId="104" applyFont="1" applyAlignment="1">
      <alignment vertical="center"/>
    </xf>
    <xf numFmtId="196" fontId="24" fillId="0" borderId="4" xfId="104" applyNumberFormat="1" applyFont="1" applyBorder="1" applyAlignment="1">
      <alignment vertical="center"/>
    </xf>
    <xf numFmtId="9" fontId="24" fillId="0" borderId="4" xfId="73" applyFont="1" applyBorder="1" applyAlignment="1">
      <alignment vertical="center"/>
    </xf>
    <xf numFmtId="9" fontId="44" fillId="8" borderId="4" xfId="73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7" fillId="17" borderId="4" xfId="104" applyFont="1" applyFill="1" applyBorder="1" applyAlignment="1">
      <alignment horizontal="center" vertical="center"/>
    </xf>
    <xf numFmtId="196" fontId="24" fillId="12" borderId="4" xfId="104" applyNumberFormat="1" applyFont="1" applyFill="1" applyBorder="1" applyAlignment="1">
      <alignment vertical="center"/>
    </xf>
    <xf numFmtId="9" fontId="24" fillId="12" borderId="4" xfId="73" applyFont="1" applyFill="1" applyBorder="1" applyAlignment="1">
      <alignment vertical="center"/>
    </xf>
    <xf numFmtId="196" fontId="24" fillId="12" borderId="24" xfId="104" applyNumberFormat="1" applyFont="1" applyFill="1" applyBorder="1" applyAlignment="1">
      <alignment vertical="center"/>
    </xf>
    <xf numFmtId="9" fontId="24" fillId="12" borderId="24" xfId="73" applyFont="1" applyFill="1" applyBorder="1" applyAlignment="1">
      <alignment vertical="center"/>
    </xf>
    <xf numFmtId="195" fontId="42" fillId="0" borderId="4" xfId="104" applyNumberFormat="1" applyFont="1" applyBorder="1" applyAlignment="1">
      <alignment horizontal="center" vertical="center"/>
    </xf>
    <xf numFmtId="195" fontId="42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3" fillId="0" borderId="0" xfId="104" applyFont="1" applyAlignment="1">
      <alignment vertical="center"/>
    </xf>
    <xf numFmtId="195" fontId="44" fillId="0" borderId="4" xfId="104" applyNumberFormat="1" applyFont="1" applyBorder="1" applyAlignment="1">
      <alignment horizontal="center" vertical="center"/>
    </xf>
    <xf numFmtId="0" fontId="23" fillId="0" borderId="0" xfId="104" applyFont="1" applyAlignment="1">
      <alignment vertical="center"/>
    </xf>
    <xf numFmtId="0" fontId="47" fillId="17" borderId="28" xfId="104" applyFont="1" applyFill="1" applyBorder="1" applyAlignment="1">
      <alignment vertical="center"/>
    </xf>
    <xf numFmtId="196" fontId="24" fillId="0" borderId="9" xfId="104" applyNumberFormat="1" applyFont="1" applyFill="1" applyBorder="1" applyAlignment="1">
      <alignment vertical="center"/>
    </xf>
    <xf numFmtId="9" fontId="24" fillId="0" borderId="4" xfId="73" applyFont="1" applyFill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0" fontId="42" fillId="0" borderId="0" xfId="104" applyFont="1" applyAlignment="1">
      <alignment vertical="center"/>
    </xf>
    <xf numFmtId="0" fontId="23" fillId="0" borderId="0" xfId="104" applyFont="1" applyFill="1" applyAlignment="1">
      <alignment vertical="center"/>
    </xf>
    <xf numFmtId="0" fontId="42" fillId="0" borderId="4" xfId="113" applyFont="1" applyFill="1" applyBorder="1" applyAlignment="1">
      <alignment horizontal="left" vertical="center"/>
    </xf>
    <xf numFmtId="0" fontId="42" fillId="17" borderId="4" xfId="104" applyFont="1" applyFill="1" applyBorder="1" applyAlignment="1">
      <alignment horizontal="center" vertical="center"/>
    </xf>
    <xf numFmtId="0" fontId="42" fillId="0" borderId="4" xfId="104" applyFont="1" applyBorder="1" applyAlignment="1">
      <alignment vertical="center"/>
    </xf>
    <xf numFmtId="0" fontId="42" fillId="0" borderId="4" xfId="104" applyFont="1" applyBorder="1" applyAlignment="1">
      <alignment horizontal="center" vertical="center"/>
    </xf>
    <xf numFmtId="0" fontId="42" fillId="0" borderId="4" xfId="104" applyNumberFormat="1" applyFont="1" applyFill="1" applyBorder="1" applyAlignment="1">
      <alignment horizontal="center" vertical="center"/>
    </xf>
    <xf numFmtId="0" fontId="42" fillId="0" borderId="4" xfId="113" applyFont="1" applyBorder="1" applyAlignment="1">
      <alignment horizontal="left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2" borderId="4" xfId="104" applyFont="1" applyFill="1" applyBorder="1" applyAlignment="1">
      <alignment horizontal="center" vertical="center" wrapText="1"/>
    </xf>
    <xf numFmtId="0" fontId="23" fillId="0" borderId="0" xfId="104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0" fontId="42" fillId="0" borderId="4" xfId="113" applyFont="1" applyFill="1" applyBorder="1" applyAlignment="1">
      <alignment horizontal="center" vertical="center" wrapText="1"/>
    </xf>
    <xf numFmtId="0" fontId="42" fillId="0" borderId="4" xfId="104" applyNumberFormat="1" applyFont="1" applyBorder="1" applyAlignment="1">
      <alignment horizontal="left" vertical="center"/>
    </xf>
    <xf numFmtId="0" fontId="42" fillId="0" borderId="4" xfId="113" applyFont="1" applyBorder="1" applyAlignment="1">
      <alignment horizontal="center" vertical="center" wrapText="1"/>
    </xf>
    <xf numFmtId="0" fontId="42" fillId="0" borderId="4" xfId="104" applyFont="1" applyFill="1" applyBorder="1" applyAlignment="1">
      <alignment horizontal="center" vertical="center"/>
    </xf>
    <xf numFmtId="0" fontId="42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24" fillId="0" borderId="0" xfId="73" applyNumberFormat="1" applyFont="1" applyAlignment="1">
      <alignment horizontal="center" vertical="center"/>
    </xf>
    <xf numFmtId="9" fontId="42" fillId="0" borderId="0" xfId="73" applyFont="1" applyFill="1" applyBorder="1" applyAlignment="1">
      <alignment horizontal="center" vertical="center"/>
    </xf>
    <xf numFmtId="0" fontId="23" fillId="0" borderId="0" xfId="104" applyFont="1" applyFill="1" applyAlignment="1">
      <alignment horizontal="center" vertical="center"/>
    </xf>
    <xf numFmtId="0" fontId="24" fillId="0" borderId="0" xfId="73" applyNumberFormat="1" applyFont="1" applyFill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4" fillId="0" borderId="7" xfId="104" applyNumberFormat="1" applyFont="1" applyFill="1" applyBorder="1" applyAlignment="1">
      <alignment horizontal="center" vertical="center"/>
    </xf>
    <xf numFmtId="0" fontId="44" fillId="0" borderId="8" xfId="104" applyNumberFormat="1" applyFont="1" applyFill="1" applyBorder="1" applyAlignment="1">
      <alignment horizontal="center" vertical="center"/>
    </xf>
    <xf numFmtId="195" fontId="44" fillId="0" borderId="4" xfId="104" applyNumberFormat="1" applyFont="1" applyFill="1" applyBorder="1" applyAlignment="1">
      <alignment horizontal="center" vertical="center"/>
    </xf>
    <xf numFmtId="195" fontId="49" fillId="0" borderId="4" xfId="104" applyNumberFormat="1" applyFont="1" applyFill="1" applyBorder="1" applyAlignment="1">
      <alignment horizontal="center" vertical="center"/>
    </xf>
    <xf numFmtId="195" fontId="42" fillId="0" borderId="4" xfId="104" applyNumberFormat="1" applyFont="1" applyFill="1" applyBorder="1" applyAlignment="1">
      <alignment horizontal="center" vertical="center"/>
    </xf>
    <xf numFmtId="9" fontId="42" fillId="0" borderId="4" xfId="73" applyFont="1" applyFill="1" applyBorder="1" applyAlignment="1">
      <alignment horizontal="center" vertical="center"/>
    </xf>
    <xf numFmtId="195" fontId="50" fillId="0" borderId="4" xfId="104" applyNumberFormat="1" applyFont="1" applyFill="1" applyBorder="1" applyAlignment="1">
      <alignment horizontal="center" vertical="center"/>
    </xf>
    <xf numFmtId="0" fontId="24" fillId="0" borderId="4" xfId="73" applyNumberFormat="1" applyFont="1" applyBorder="1" applyAlignment="1">
      <alignment horizontal="center" vertical="center"/>
    </xf>
    <xf numFmtId="0" fontId="23" fillId="0" borderId="4" xfId="104" applyFont="1" applyBorder="1" applyAlignment="1">
      <alignment horizontal="center" vertical="center"/>
    </xf>
    <xf numFmtId="0" fontId="47" fillId="17" borderId="16" xfId="104" applyFont="1" applyFill="1" applyBorder="1" applyAlignment="1">
      <alignment horizontal="center" vertical="center"/>
    </xf>
    <xf numFmtId="0" fontId="47" fillId="17" borderId="17" xfId="104" applyFont="1" applyFill="1" applyBorder="1" applyAlignment="1">
      <alignment horizontal="center" vertical="center"/>
    </xf>
    <xf numFmtId="0" fontId="47" fillId="17" borderId="13" xfId="104" applyFont="1" applyFill="1" applyBorder="1" applyAlignment="1">
      <alignment horizontal="center" vertical="center"/>
    </xf>
    <xf numFmtId="0" fontId="47" fillId="17" borderId="14" xfId="104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3" fillId="0" borderId="0" xfId="104" applyNumberFormat="1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7" fillId="0" borderId="4" xfId="104" applyFont="1" applyFill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7" fillId="10" borderId="4" xfId="104" applyFont="1" applyFill="1" applyBorder="1" applyAlignment="1">
      <alignment horizontal="center" vertical="center" wrapText="1"/>
    </xf>
    <xf numFmtId="0" fontId="44" fillId="14" borderId="9" xfId="104" applyFont="1" applyFill="1" applyBorder="1" applyAlignment="1">
      <alignment vertical="center" wrapText="1"/>
    </xf>
    <xf numFmtId="0" fontId="44" fillId="15" borderId="9" xfId="104" applyFont="1" applyFill="1" applyBorder="1" applyAlignment="1">
      <alignment vertical="center" wrapText="1"/>
    </xf>
    <xf numFmtId="0" fontId="44" fillId="14" borderId="15" xfId="104" applyFont="1" applyFill="1" applyBorder="1" applyAlignment="1">
      <alignment horizontal="center" vertical="center" wrapText="1"/>
    </xf>
    <xf numFmtId="0" fontId="42" fillId="17" borderId="4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 wrapText="1"/>
    </xf>
    <xf numFmtId="0" fontId="42" fillId="0" borderId="8" xfId="113" applyFont="1" applyBorder="1" applyAlignment="1">
      <alignment horizontal="left" vertical="center"/>
    </xf>
    <xf numFmtId="0" fontId="69" fillId="0" borderId="4" xfId="0" applyFont="1" applyBorder="1" applyAlignment="1">
      <alignment horizontal="left" vertical="center" wrapText="1" readingOrder="1"/>
    </xf>
    <xf numFmtId="0" fontId="42" fillId="0" borderId="8" xfId="104" applyNumberFormat="1" applyFont="1" applyBorder="1" applyAlignment="1">
      <alignment horizontal="left" vertical="center"/>
    </xf>
    <xf numFmtId="0" fontId="42" fillId="0" borderId="8" xfId="113" applyFont="1" applyFill="1" applyBorder="1" applyAlignment="1">
      <alignment horizontal="left" vertical="center"/>
    </xf>
    <xf numFmtId="0" fontId="42" fillId="0" borderId="10" xfId="113" applyFont="1" applyFill="1" applyBorder="1" applyAlignment="1">
      <alignment horizontal="center" vertical="center" wrapText="1"/>
    </xf>
    <xf numFmtId="0" fontId="42" fillId="0" borderId="10" xfId="104" applyNumberFormat="1" applyFont="1" applyFill="1" applyBorder="1" applyAlignment="1">
      <alignment horizontal="left" vertical="center"/>
    </xf>
    <xf numFmtId="0" fontId="68" fillId="0" borderId="10" xfId="0" applyFont="1" applyBorder="1" applyAlignment="1">
      <alignment horizontal="left" vertical="center" wrapText="1" readingOrder="1"/>
    </xf>
    <xf numFmtId="0" fontId="42" fillId="0" borderId="9" xfId="0" applyFont="1" applyBorder="1" applyAlignment="1">
      <alignment vertical="center"/>
    </xf>
    <xf numFmtId="0" fontId="70" fillId="0" borderId="4" xfId="0" applyFont="1" applyBorder="1" applyAlignment="1">
      <alignment horizontal="left" vertical="center" wrapText="1" readingOrder="1"/>
    </xf>
    <xf numFmtId="0" fontId="69" fillId="0" borderId="9" xfId="0" applyFont="1" applyBorder="1" applyAlignment="1">
      <alignment horizontal="left" vertical="center" wrapText="1" readingOrder="1"/>
    </xf>
    <xf numFmtId="0" fontId="70" fillId="0" borderId="9" xfId="0" applyFont="1" applyBorder="1" applyAlignment="1">
      <alignment horizontal="left" vertical="center" wrapText="1" readingOrder="1"/>
    </xf>
    <xf numFmtId="0" fontId="42" fillId="11" borderId="4" xfId="104" applyNumberFormat="1" applyFont="1" applyFill="1" applyBorder="1" applyAlignment="1">
      <alignment horizontal="center" vertical="center"/>
    </xf>
    <xf numFmtId="0" fontId="44" fillId="11" borderId="4" xfId="104" applyNumberFormat="1" applyFont="1" applyFill="1" applyBorder="1" applyAlignment="1">
      <alignment horizontal="center" vertical="center"/>
    </xf>
    <xf numFmtId="0" fontId="44" fillId="17" borderId="4" xfId="104" applyNumberFormat="1" applyFont="1" applyFill="1" applyBorder="1" applyAlignment="1">
      <alignment horizontal="center" vertical="center"/>
    </xf>
    <xf numFmtId="0" fontId="44" fillId="41" borderId="4" xfId="104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2" fillId="0" borderId="4" xfId="73" applyNumberFormat="1" applyFont="1" applyBorder="1" applyAlignment="1">
      <alignment horizontal="center" vertical="center"/>
    </xf>
    <xf numFmtId="0" fontId="42" fillId="17" borderId="4" xfId="73" applyNumberFormat="1" applyFont="1" applyFill="1" applyBorder="1" applyAlignment="1">
      <alignment horizontal="center" vertical="center"/>
    </xf>
    <xf numFmtId="0" fontId="24" fillId="0" borderId="0" xfId="104" applyFont="1" applyAlignment="1">
      <alignment vertical="center"/>
    </xf>
    <xf numFmtId="198" fontId="24" fillId="0" borderId="0" xfId="104" applyNumberFormat="1" applyFont="1" applyAlignment="1">
      <alignment vertical="center"/>
    </xf>
    <xf numFmtId="0" fontId="24" fillId="0" borderId="0" xfId="104" applyFont="1" applyAlignment="1">
      <alignment horizontal="center" vertical="center"/>
    </xf>
    <xf numFmtId="199" fontId="42" fillId="0" borderId="4" xfId="104" applyNumberFormat="1" applyFont="1" applyFill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5" borderId="9" xfId="104" applyFont="1" applyFill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5" borderId="15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2" fillId="0" borderId="7" xfId="104" applyNumberFormat="1" applyFont="1" applyFill="1" applyBorder="1" applyAlignment="1">
      <alignment horizontal="center" vertical="center"/>
    </xf>
    <xf numFmtId="0" fontId="39" fillId="0" borderId="0" xfId="0" applyFont="1"/>
    <xf numFmtId="0" fontId="44" fillId="0" borderId="4" xfId="104" applyNumberFormat="1" applyFont="1" applyBorder="1" applyAlignment="1">
      <alignment horizontal="center" vertical="center"/>
    </xf>
    <xf numFmtId="0" fontId="44" fillId="11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47" fillId="11" borderId="7" xfId="104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4" fillId="11" borderId="9" xfId="104" applyFont="1" applyFill="1" applyBorder="1" applyAlignment="1">
      <alignment horizontal="center" vertical="center" wrapText="1"/>
    </xf>
    <xf numFmtId="0" fontId="44" fillId="14" borderId="11" xfId="104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44" fillId="14" borderId="16" xfId="0" applyFont="1" applyFill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4" fillId="15" borderId="9" xfId="104" applyFont="1" applyFill="1" applyBorder="1" applyAlignment="1">
      <alignment horizontal="center" vertical="center" wrapText="1"/>
    </xf>
    <xf numFmtId="0" fontId="39" fillId="15" borderId="15" xfId="0" applyFont="1" applyFill="1" applyBorder="1" applyAlignment="1">
      <alignment horizontal="center" vertical="center" wrapText="1"/>
    </xf>
    <xf numFmtId="0" fontId="44" fillId="5" borderId="4" xfId="104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44" fillId="10" borderId="7" xfId="104" applyFont="1" applyFill="1" applyBorder="1" applyAlignment="1">
      <alignment horizontal="center" vertical="center" wrapText="1"/>
    </xf>
    <xf numFmtId="0" fontId="44" fillId="10" borderId="3" xfId="104" applyFont="1" applyFill="1" applyBorder="1" applyAlignment="1">
      <alignment horizontal="center" vertical="center" wrapText="1"/>
    </xf>
    <xf numFmtId="0" fontId="44" fillId="10" borderId="8" xfId="104" applyFont="1" applyFill="1" applyBorder="1" applyAlignment="1">
      <alignment horizontal="center" vertical="center" wrapText="1"/>
    </xf>
    <xf numFmtId="0" fontId="44" fillId="9" borderId="9" xfId="104" applyFont="1" applyFill="1" applyBorder="1" applyAlignment="1">
      <alignment horizontal="center" vertical="center" wrapText="1"/>
    </xf>
    <xf numFmtId="9" fontId="44" fillId="9" borderId="9" xfId="73" applyFont="1" applyFill="1" applyBorder="1" applyAlignment="1">
      <alignment horizontal="center" vertical="center" wrapText="1"/>
    </xf>
    <xf numFmtId="0" fontId="44" fillId="10" borderId="9" xfId="104" applyFont="1" applyFill="1" applyBorder="1" applyAlignment="1">
      <alignment horizontal="center" vertical="center" wrapText="1"/>
    </xf>
    <xf numFmtId="0" fontId="47" fillId="10" borderId="7" xfId="104" applyFont="1" applyFill="1" applyBorder="1" applyAlignment="1">
      <alignment horizontal="center" vertical="center" wrapText="1"/>
    </xf>
    <xf numFmtId="9" fontId="44" fillId="11" borderId="9" xfId="73" applyFont="1" applyFill="1" applyBorder="1" applyAlignment="1">
      <alignment horizontal="center" vertical="center" wrapText="1"/>
    </xf>
    <xf numFmtId="0" fontId="44" fillId="8" borderId="9" xfId="104" applyFont="1" applyFill="1" applyBorder="1" applyAlignment="1">
      <alignment horizontal="center" vertical="center" wrapText="1"/>
    </xf>
    <xf numFmtId="0" fontId="44" fillId="7" borderId="9" xfId="104" applyFont="1" applyFill="1" applyBorder="1" applyAlignment="1">
      <alignment horizontal="center" vertical="center" wrapText="1"/>
    </xf>
    <xf numFmtId="9" fontId="44" fillId="7" borderId="9" xfId="73" applyFont="1" applyFill="1" applyBorder="1" applyAlignment="1">
      <alignment horizontal="center" vertical="center" wrapText="1"/>
    </xf>
    <xf numFmtId="0" fontId="44" fillId="5" borderId="9" xfId="104" applyFont="1" applyFill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7" fillId="8" borderId="7" xfId="104" applyFont="1" applyFill="1" applyBorder="1" applyAlignment="1">
      <alignment horizontal="center" vertical="center" wrapText="1"/>
    </xf>
    <xf numFmtId="0" fontId="44" fillId="5" borderId="10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2" borderId="8" xfId="104" applyNumberFormat="1" applyFont="1" applyFill="1" applyBorder="1" applyAlignment="1">
      <alignment horizontal="center" vertical="center"/>
    </xf>
    <xf numFmtId="0" fontId="44" fillId="11" borderId="7" xfId="104" applyFont="1" applyFill="1" applyBorder="1" applyAlignment="1">
      <alignment horizontal="center" vertical="center" wrapText="1"/>
    </xf>
    <xf numFmtId="0" fontId="44" fillId="11" borderId="3" xfId="104" applyFont="1" applyFill="1" applyBorder="1" applyAlignment="1">
      <alignment horizontal="center" vertical="center" wrapText="1"/>
    </xf>
    <xf numFmtId="0" fontId="44" fillId="11" borderId="8" xfId="104" applyFont="1" applyFill="1" applyBorder="1" applyAlignment="1">
      <alignment horizontal="center" vertical="center" wrapText="1"/>
    </xf>
    <xf numFmtId="14" fontId="42" fillId="0" borderId="4" xfId="104" applyNumberFormat="1" applyFont="1" applyBorder="1" applyAlignment="1">
      <alignment horizontal="left" vertical="center"/>
    </xf>
    <xf numFmtId="0" fontId="42" fillId="0" borderId="4" xfId="104" applyFont="1" applyBorder="1" applyAlignment="1">
      <alignment horizontal="left" vertical="center"/>
    </xf>
    <xf numFmtId="0" fontId="42" fillId="6" borderId="4" xfId="104" applyFont="1" applyFill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 wrapText="1"/>
    </xf>
    <xf numFmtId="0" fontId="42" fillId="13" borderId="7" xfId="104" applyFont="1" applyFill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0" fontId="42" fillId="13" borderId="3" xfId="104" applyFont="1" applyFill="1" applyBorder="1" applyAlignment="1">
      <alignment horizontal="center" vertical="center"/>
    </xf>
    <xf numFmtId="0" fontId="42" fillId="13" borderId="8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 wrapText="1"/>
    </xf>
    <xf numFmtId="0" fontId="42" fillId="0" borderId="7" xfId="104" applyFont="1" applyBorder="1" applyAlignment="1">
      <alignment horizontal="left" vertical="center"/>
    </xf>
    <xf numFmtId="0" fontId="42" fillId="0" borderId="3" xfId="104" applyFont="1" applyBorder="1" applyAlignment="1">
      <alignment horizontal="left" vertical="center"/>
    </xf>
    <xf numFmtId="0" fontId="42" fillId="0" borderId="8" xfId="104" applyFont="1" applyBorder="1" applyAlignment="1">
      <alignment horizontal="left" vertical="center"/>
    </xf>
    <xf numFmtId="0" fontId="42" fillId="6" borderId="7" xfId="104" applyFont="1" applyFill="1" applyBorder="1" applyAlignment="1">
      <alignment horizontal="center" vertical="center"/>
    </xf>
    <xf numFmtId="0" fontId="42" fillId="6" borderId="3" xfId="104" applyFont="1" applyFill="1" applyBorder="1" applyAlignment="1">
      <alignment horizontal="center" vertical="center"/>
    </xf>
    <xf numFmtId="0" fontId="42" fillId="6" borderId="8" xfId="104" applyFont="1" applyFill="1" applyBorder="1" applyAlignment="1">
      <alignment horizontal="center" vertical="center"/>
    </xf>
    <xf numFmtId="0" fontId="42" fillId="6" borderId="9" xfId="104" applyFont="1" applyFill="1" applyBorder="1" applyAlignment="1">
      <alignment horizontal="center" vertical="center" wrapText="1"/>
    </xf>
    <xf numFmtId="0" fontId="42" fillId="6" borderId="10" xfId="104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4" fillId="8" borderId="7" xfId="104" applyFont="1" applyFill="1" applyBorder="1" applyAlignment="1">
      <alignment horizontal="center" vertical="center" wrapText="1"/>
    </xf>
    <xf numFmtId="0" fontId="44" fillId="8" borderId="3" xfId="104" applyFont="1" applyFill="1" applyBorder="1" applyAlignment="1">
      <alignment horizontal="center" vertical="center" wrapText="1"/>
    </xf>
    <xf numFmtId="0" fontId="44" fillId="8" borderId="8" xfId="104" applyFont="1" applyFill="1" applyBorder="1" applyAlignment="1">
      <alignment horizontal="center" vertical="center" wrapText="1"/>
    </xf>
    <xf numFmtId="9" fontId="44" fillId="5" borderId="10" xfId="73" applyFont="1" applyFill="1" applyBorder="1" applyAlignment="1">
      <alignment horizontal="center" vertical="center" wrapText="1"/>
    </xf>
    <xf numFmtId="0" fontId="44" fillId="14" borderId="12" xfId="104" applyFont="1" applyFill="1" applyBorder="1" applyAlignment="1">
      <alignment horizontal="center" vertical="center" wrapText="1"/>
    </xf>
    <xf numFmtId="0" fontId="44" fillId="14" borderId="17" xfId="104" applyFont="1" applyFill="1" applyBorder="1" applyAlignment="1">
      <alignment horizontal="center" vertical="center" wrapText="1"/>
    </xf>
    <xf numFmtId="0" fontId="44" fillId="14" borderId="1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15" borderId="10" xfId="104" applyFont="1" applyFill="1" applyBorder="1" applyAlignment="1">
      <alignment horizontal="center" vertical="center" wrapText="1"/>
    </xf>
    <xf numFmtId="0" fontId="44" fillId="5" borderId="7" xfId="104" applyFont="1" applyFill="1" applyBorder="1" applyAlignment="1">
      <alignment horizontal="center" vertical="center" wrapText="1"/>
    </xf>
    <xf numFmtId="0" fontId="44" fillId="5" borderId="3" xfId="104" applyFont="1" applyFill="1" applyBorder="1" applyAlignment="1">
      <alignment horizontal="center" vertical="center" wrapText="1"/>
    </xf>
    <xf numFmtId="0" fontId="44" fillId="5" borderId="8" xfId="104" applyFont="1" applyFill="1" applyBorder="1" applyAlignment="1">
      <alignment horizontal="center" vertical="center" wrapText="1"/>
    </xf>
    <xf numFmtId="0" fontId="44" fillId="7" borderId="10" xfId="104" applyFont="1" applyFill="1" applyBorder="1" applyAlignment="1">
      <alignment horizontal="center" vertical="center" wrapText="1"/>
    </xf>
    <xf numFmtId="0" fontId="47" fillId="8" borderId="8" xfId="104" applyFont="1" applyFill="1" applyBorder="1" applyAlignment="1">
      <alignment horizontal="center" vertical="center" wrapText="1"/>
    </xf>
    <xf numFmtId="0" fontId="44" fillId="8" borderId="10" xfId="104" applyFont="1" applyFill="1" applyBorder="1" applyAlignment="1">
      <alignment horizontal="center" vertical="center" wrapText="1"/>
    </xf>
    <xf numFmtId="9" fontId="44" fillId="7" borderId="10" xfId="73" applyFont="1" applyFill="1" applyBorder="1" applyAlignment="1">
      <alignment horizontal="center" vertical="center" wrapText="1"/>
    </xf>
    <xf numFmtId="0" fontId="44" fillId="9" borderId="10" xfId="104" applyFont="1" applyFill="1" applyBorder="1" applyAlignment="1">
      <alignment horizontal="center" vertical="center" wrapText="1"/>
    </xf>
    <xf numFmtId="0" fontId="44" fillId="10" borderId="10" xfId="104" applyFont="1" applyFill="1" applyBorder="1" applyAlignment="1">
      <alignment horizontal="center" vertical="center" wrapText="1"/>
    </xf>
    <xf numFmtId="0" fontId="47" fillId="10" borderId="8" xfId="104" applyFont="1" applyFill="1" applyBorder="1" applyAlignment="1">
      <alignment horizontal="center" vertical="center" wrapText="1"/>
    </xf>
    <xf numFmtId="9" fontId="44" fillId="9" borderId="10" xfId="73" applyFont="1" applyFill="1" applyBorder="1" applyAlignment="1">
      <alignment horizontal="center" vertical="center" wrapText="1"/>
    </xf>
    <xf numFmtId="9" fontId="44" fillId="11" borderId="10" xfId="73" applyFont="1" applyFill="1" applyBorder="1" applyAlignment="1">
      <alignment horizontal="center" vertical="center" wrapText="1"/>
    </xf>
    <xf numFmtId="0" fontId="44" fillId="11" borderId="10" xfId="0" applyFont="1" applyFill="1" applyBorder="1" applyAlignment="1">
      <alignment horizontal="center" vertical="center" wrapText="1"/>
    </xf>
    <xf numFmtId="0" fontId="47" fillId="11" borderId="8" xfId="104" applyFont="1" applyFill="1" applyBorder="1" applyAlignment="1">
      <alignment horizontal="center" vertical="center" wrapText="1"/>
    </xf>
    <xf numFmtId="0" fontId="44" fillId="11" borderId="10" xfId="104" applyFont="1" applyFill="1" applyBorder="1" applyAlignment="1">
      <alignment horizontal="center" vertical="center" wrapText="1"/>
    </xf>
    <xf numFmtId="9" fontId="44" fillId="10" borderId="9" xfId="73" applyFont="1" applyFill="1" applyBorder="1" applyAlignment="1">
      <alignment horizontal="center" vertical="center" wrapText="1"/>
    </xf>
    <xf numFmtId="9" fontId="44" fillId="10" borderId="10" xfId="73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9" fontId="44" fillId="8" borderId="4" xfId="73" applyFont="1" applyFill="1" applyBorder="1" applyAlignment="1">
      <alignment horizontal="center" vertical="center" wrapText="1"/>
    </xf>
    <xf numFmtId="9" fontId="44" fillId="8" borderId="9" xfId="73" applyFont="1" applyFill="1" applyBorder="1" applyAlignment="1">
      <alignment horizontal="center" vertical="center" wrapText="1"/>
    </xf>
    <xf numFmtId="9" fontId="44" fillId="8" borderId="10" xfId="73" applyFont="1" applyFill="1" applyBorder="1" applyAlignment="1">
      <alignment horizontal="center" vertical="center" wrapText="1"/>
    </xf>
    <xf numFmtId="0" fontId="47" fillId="0" borderId="25" xfId="104" applyFont="1" applyFill="1" applyBorder="1" applyAlignment="1">
      <alignment horizontal="center" vertical="center"/>
    </xf>
    <xf numFmtId="0" fontId="47" fillId="0" borderId="26" xfId="104" applyFont="1" applyFill="1" applyBorder="1" applyAlignment="1">
      <alignment horizontal="center" vertical="center"/>
    </xf>
    <xf numFmtId="0" fontId="47" fillId="0" borderId="27" xfId="104" applyFont="1" applyFill="1" applyBorder="1" applyAlignment="1">
      <alignment horizontal="center" vertical="center"/>
    </xf>
    <xf numFmtId="0" fontId="47" fillId="17" borderId="29" xfId="104" applyFont="1" applyFill="1" applyBorder="1" applyAlignment="1">
      <alignment horizontal="center" vertical="center"/>
    </xf>
    <xf numFmtId="0" fontId="47" fillId="17" borderId="30" xfId="104" applyFont="1" applyFill="1" applyBorder="1" applyAlignment="1">
      <alignment horizontal="center" vertical="center"/>
    </xf>
    <xf numFmtId="0" fontId="47" fillId="17" borderId="31" xfId="104" applyFont="1" applyFill="1" applyBorder="1" applyAlignment="1">
      <alignment horizontal="center" vertical="center"/>
    </xf>
    <xf numFmtId="0" fontId="44" fillId="11" borderId="20" xfId="104" applyFont="1" applyFill="1" applyBorder="1" applyAlignment="1">
      <alignment horizontal="center" vertical="center" wrapText="1"/>
    </xf>
    <xf numFmtId="0" fontId="44" fillId="11" borderId="21" xfId="104" applyFont="1" applyFill="1" applyBorder="1" applyAlignment="1">
      <alignment horizontal="center" vertical="center" wrapText="1"/>
    </xf>
    <xf numFmtId="0" fontId="44" fillId="11" borderId="22" xfId="104" applyFont="1" applyFill="1" applyBorder="1" applyAlignment="1">
      <alignment horizontal="center" vertical="center" wrapText="1"/>
    </xf>
    <xf numFmtId="0" fontId="44" fillId="17" borderId="18" xfId="104" applyFont="1" applyFill="1" applyBorder="1" applyAlignment="1">
      <alignment horizontal="center" vertical="center" wrapText="1"/>
    </xf>
    <xf numFmtId="0" fontId="44" fillId="17" borderId="23" xfId="104" applyFont="1" applyFill="1" applyBorder="1" applyAlignment="1">
      <alignment horizontal="center" vertical="center" wrapText="1"/>
    </xf>
    <xf numFmtId="0" fontId="44" fillId="17" borderId="19" xfId="104" applyFont="1" applyFill="1" applyBorder="1" applyAlignment="1">
      <alignment horizontal="center" vertical="center" wrapText="1"/>
    </xf>
    <xf numFmtId="0" fontId="44" fillId="17" borderId="4" xfId="104" applyFont="1" applyFill="1" applyBorder="1" applyAlignment="1">
      <alignment horizontal="center" vertical="center" wrapText="1"/>
    </xf>
    <xf numFmtId="0" fontId="44" fillId="8" borderId="20" xfId="104" applyFont="1" applyFill="1" applyBorder="1" applyAlignment="1">
      <alignment horizontal="center" vertical="center" wrapText="1"/>
    </xf>
    <xf numFmtId="0" fontId="44" fillId="8" borderId="21" xfId="104" applyFont="1" applyFill="1" applyBorder="1" applyAlignment="1">
      <alignment horizontal="center" vertical="center" wrapText="1"/>
    </xf>
    <xf numFmtId="0" fontId="44" fillId="8" borderId="22" xfId="104" applyFont="1" applyFill="1" applyBorder="1" applyAlignment="1">
      <alignment horizontal="center" vertical="center" wrapText="1"/>
    </xf>
    <xf numFmtId="0" fontId="44" fillId="10" borderId="20" xfId="104" applyFont="1" applyFill="1" applyBorder="1" applyAlignment="1">
      <alignment horizontal="center" vertical="center" wrapText="1"/>
    </xf>
    <xf numFmtId="0" fontId="44" fillId="10" borderId="21" xfId="104" applyFont="1" applyFill="1" applyBorder="1" applyAlignment="1">
      <alignment horizontal="center" vertical="center" wrapText="1"/>
    </xf>
    <xf numFmtId="0" fontId="44" fillId="10" borderId="22" xfId="104" applyFont="1" applyFill="1" applyBorder="1" applyAlignment="1">
      <alignment horizontal="center" vertical="center" wrapText="1"/>
    </xf>
  </cellXfs>
  <cellStyles count="200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3" xfId="191"/>
    <cellStyle name="표준 16 3" xfId="122"/>
    <cellStyle name="표준 16 3 2" xfId="136"/>
    <cellStyle name="표준 16 4" xfId="123"/>
    <cellStyle name="표준 16 4 2" xfId="137"/>
    <cellStyle name="표준 16 5" xfId="125"/>
    <cellStyle name="표준 16 5 2" xfId="138"/>
    <cellStyle name="표준 16 6" xfId="134"/>
    <cellStyle name="표준 16 7" xfId="190"/>
    <cellStyle name="표준 17" xfId="120"/>
    <cellStyle name="표준 17 2" xfId="192"/>
    <cellStyle name="표준 17 2 2" xfId="193"/>
    <cellStyle name="표준 18" xfId="121"/>
    <cellStyle name="표준 19" xfId="126"/>
    <cellStyle name="표준 19 2" xfId="194"/>
    <cellStyle name="표준 19 2 2" xfId="195"/>
    <cellStyle name="표준 19 3" xfId="196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4" xfId="99"/>
    <cellStyle name="표준 25" xfId="198"/>
    <cellStyle name="표준 26" xfId="199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147"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99"/>
      <color rgb="FF00CC00"/>
      <color rgb="FFFF00FF"/>
      <color rgb="FFFF66FF"/>
      <color rgb="FF00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5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" sqref="C2:C4"/>
    </sheetView>
  </sheetViews>
  <sheetFormatPr defaultColWidth="10.109375" defaultRowHeight="13.5"/>
  <cols>
    <col min="1" max="1" width="5.21875" style="2" customWidth="1"/>
    <col min="2" max="2" width="10.88671875" style="2" customWidth="1"/>
    <col min="3" max="3" width="8.44140625" style="2" customWidth="1"/>
    <col min="4" max="6" width="6.33203125" style="2" customWidth="1"/>
    <col min="7" max="8" width="4.21875" style="2" customWidth="1"/>
    <col min="9" max="10" width="6.33203125" style="17" customWidth="1"/>
    <col min="11" max="11" width="5.5546875" style="2" hidden="1" customWidth="1"/>
    <col min="12" max="14" width="6.33203125" style="2" hidden="1" customWidth="1"/>
    <col min="15" max="15" width="6.33203125" style="18" hidden="1" customWidth="1"/>
    <col min="16" max="16" width="7.77734375" style="17" hidden="1" customWidth="1"/>
    <col min="17" max="17" width="7.77734375" style="2" hidden="1" customWidth="1"/>
    <col min="18" max="18" width="5.5546875" style="2" hidden="1" customWidth="1"/>
    <col min="19" max="19" width="5" style="2" hidden="1" customWidth="1"/>
    <col min="20" max="21" width="6.33203125" style="2" hidden="1" customWidth="1"/>
    <col min="22" max="23" width="6.33203125" style="18" hidden="1" customWidth="1"/>
    <col min="24" max="25" width="7.6640625" style="2" hidden="1" customWidth="1"/>
    <col min="26" max="26" width="5.5546875" style="2" hidden="1" customWidth="1"/>
    <col min="27" max="27" width="5" style="2" hidden="1" customWidth="1"/>
    <col min="28" max="28" width="6.33203125" style="2" hidden="1" customWidth="1"/>
    <col min="29" max="29" width="6.33203125" style="18" hidden="1" customWidth="1"/>
    <col min="30" max="30" width="7.44140625" style="18" hidden="1" customWidth="1"/>
    <col min="31" max="31" width="6.33203125" style="1" hidden="1" customWidth="1"/>
    <col min="32" max="33" width="7.77734375" style="1" hidden="1" customWidth="1"/>
    <col min="34" max="35" width="3.6640625" style="1" bestFit="1" customWidth="1"/>
    <col min="36" max="16384" width="10.109375" style="1"/>
  </cols>
  <sheetData>
    <row r="1" spans="1:35" ht="12.75" customHeight="1">
      <c r="A1" s="4" t="s">
        <v>20</v>
      </c>
      <c r="B1" s="3"/>
      <c r="C1" s="6" t="s">
        <v>673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5" ht="12.75" customHeight="1">
      <c r="A2" s="164" t="s">
        <v>33</v>
      </c>
      <c r="B2" s="165"/>
      <c r="C2" s="170" t="s">
        <v>118</v>
      </c>
      <c r="D2" s="172" t="s">
        <v>35</v>
      </c>
      <c r="E2" s="172"/>
      <c r="F2" s="172"/>
      <c r="G2" s="172"/>
      <c r="H2" s="172"/>
      <c r="I2" s="173"/>
      <c r="J2" s="173"/>
      <c r="K2" s="174" t="s">
        <v>36</v>
      </c>
      <c r="L2" s="174"/>
      <c r="M2" s="174"/>
      <c r="N2" s="174"/>
      <c r="O2" s="174"/>
      <c r="P2" s="175"/>
      <c r="Q2" s="175"/>
      <c r="R2" s="176" t="s">
        <v>37</v>
      </c>
      <c r="S2" s="177"/>
      <c r="T2" s="177"/>
      <c r="U2" s="177"/>
      <c r="V2" s="177"/>
      <c r="W2" s="177"/>
      <c r="X2" s="177"/>
      <c r="Y2" s="178"/>
      <c r="Z2" s="193" t="s">
        <v>454</v>
      </c>
      <c r="AA2" s="194"/>
      <c r="AB2" s="194"/>
      <c r="AC2" s="194"/>
      <c r="AD2" s="194"/>
      <c r="AE2" s="194"/>
      <c r="AF2" s="194"/>
      <c r="AG2" s="195"/>
      <c r="AH2" s="170" t="s">
        <v>615</v>
      </c>
      <c r="AI2" s="170" t="s">
        <v>616</v>
      </c>
    </row>
    <row r="3" spans="1:35" ht="12.75" customHeight="1">
      <c r="A3" s="166"/>
      <c r="B3" s="167"/>
      <c r="C3" s="171"/>
      <c r="D3" s="187" t="s">
        <v>38</v>
      </c>
      <c r="E3" s="187" t="s">
        <v>39</v>
      </c>
      <c r="F3" s="187" t="s">
        <v>40</v>
      </c>
      <c r="G3" s="187" t="s">
        <v>74</v>
      </c>
      <c r="H3" s="187" t="s">
        <v>75</v>
      </c>
      <c r="I3" s="188" t="s">
        <v>41</v>
      </c>
      <c r="J3" s="188" t="s">
        <v>42</v>
      </c>
      <c r="K3" s="185" t="s">
        <v>14</v>
      </c>
      <c r="L3" s="189" t="s">
        <v>43</v>
      </c>
      <c r="M3" s="162"/>
      <c r="N3" s="184" t="s">
        <v>21</v>
      </c>
      <c r="O3" s="185" t="s">
        <v>44</v>
      </c>
      <c r="P3" s="186" t="s">
        <v>45</v>
      </c>
      <c r="Q3" s="186" t="s">
        <v>46</v>
      </c>
      <c r="R3" s="179" t="s">
        <v>47</v>
      </c>
      <c r="S3" s="181" t="s">
        <v>14</v>
      </c>
      <c r="T3" s="182" t="s">
        <v>43</v>
      </c>
      <c r="U3" s="162"/>
      <c r="V3" s="181" t="s">
        <v>21</v>
      </c>
      <c r="W3" s="179" t="s">
        <v>44</v>
      </c>
      <c r="X3" s="180" t="s">
        <v>48</v>
      </c>
      <c r="Y3" s="180" t="s">
        <v>49</v>
      </c>
      <c r="Z3" s="159" t="s">
        <v>47</v>
      </c>
      <c r="AA3" s="159" t="s">
        <v>14</v>
      </c>
      <c r="AB3" s="161" t="s">
        <v>43</v>
      </c>
      <c r="AC3" s="162"/>
      <c r="AD3" s="163" t="s">
        <v>21</v>
      </c>
      <c r="AE3" s="163" t="s">
        <v>44</v>
      </c>
      <c r="AF3" s="183" t="s">
        <v>48</v>
      </c>
      <c r="AG3" s="183" t="s">
        <v>49</v>
      </c>
      <c r="AH3" s="171"/>
      <c r="AI3" s="171"/>
    </row>
    <row r="4" spans="1:35" ht="12.75" customHeight="1">
      <c r="A4" s="168"/>
      <c r="B4" s="169"/>
      <c r="C4" s="160"/>
      <c r="D4" s="160"/>
      <c r="E4" s="160"/>
      <c r="F4" s="160"/>
      <c r="G4" s="190"/>
      <c r="H4" s="190"/>
      <c r="I4" s="160"/>
      <c r="J4" s="160"/>
      <c r="K4" s="160"/>
      <c r="L4" s="19" t="s">
        <v>50</v>
      </c>
      <c r="M4" s="19" t="s">
        <v>51</v>
      </c>
      <c r="N4" s="160"/>
      <c r="O4" s="160"/>
      <c r="P4" s="160"/>
      <c r="Q4" s="160"/>
      <c r="R4" s="160"/>
      <c r="S4" s="160"/>
      <c r="T4" s="9" t="s">
        <v>50</v>
      </c>
      <c r="U4" s="9" t="s">
        <v>51</v>
      </c>
      <c r="V4" s="160"/>
      <c r="W4" s="160"/>
      <c r="X4" s="160"/>
      <c r="Y4" s="160"/>
      <c r="Z4" s="160"/>
      <c r="AA4" s="160"/>
      <c r="AB4" s="10" t="s">
        <v>50</v>
      </c>
      <c r="AC4" s="10" t="s">
        <v>51</v>
      </c>
      <c r="AD4" s="160"/>
      <c r="AE4" s="160"/>
      <c r="AF4" s="160"/>
      <c r="AG4" s="160"/>
      <c r="AH4" s="160"/>
      <c r="AI4" s="160"/>
    </row>
    <row r="5" spans="1:35" ht="14.25" customHeight="1">
      <c r="A5" s="158" t="s">
        <v>190</v>
      </c>
      <c r="B5" s="99" t="s">
        <v>191</v>
      </c>
      <c r="C5" s="12">
        <f>COUNTIFS(개발일정표!$A:$A,$A$5,개발일정표!$B:$B,$B5,개발일정표!$H:$H,"&lt;&gt;삭제")</f>
        <v>20</v>
      </c>
      <c r="D5" s="12">
        <f>COUNTIFS(개발일정표!$A:$A,$A$5,개발일정표!$B:$B,$B5,개발일정표!$H:$H,"&lt;&gt;삭제",개발일정표!$J:$J,"&lt;="&amp;$C$1)</f>
        <v>18</v>
      </c>
      <c r="E5" s="12">
        <f>COUNTIFS(개발일정표!$A:$A,$A$5,개발일정표!$B:$B,$B5,개발일정표!$H:$H,"&lt;&gt;삭제",개발일정표!$L:$L,"&lt;="&amp;$C$1)</f>
        <v>9</v>
      </c>
      <c r="F5" s="13">
        <f t="shared" ref="F5:F6" si="0">D5-E5</f>
        <v>9</v>
      </c>
      <c r="G5" s="35">
        <f>COUNTIFS(개발일정표!$A:$A,$A$5,개발일정표!$B:$B,$B5,개발일정표!$H:$H,"&lt;&gt;삭제",개발일정표!$K:$K,"&lt;="&amp;$C$1,개발일정표!$L:$L,"")</f>
        <v>8</v>
      </c>
      <c r="H5" s="35">
        <f>COUNTIFS(개발일정표!$A:$A,$A$5,개발일정표!$B:$B,$B5,개발일정표!$H:$H,"&lt;&gt;삭제",개발일정표!$J:$J,"="&amp;$C$1)</f>
        <v>2</v>
      </c>
      <c r="I5" s="14">
        <f>IF(D5=0,0,E5/D5)</f>
        <v>0.5</v>
      </c>
      <c r="J5" s="14">
        <f>IF(C5=0,0,E5/C5)</f>
        <v>0.45</v>
      </c>
      <c r="K5" s="12">
        <f>COUNTIFS(개발일정표!$A:$A,$A$5,개발일정표!$B:$B,$B5,개발일정표!$H:$H,"&lt;&gt;삭제",개발일정표!$M:$M,"&lt;&gt;검수제외",개발일정표!$O:$O,"&lt;="&amp;$C$1)</f>
        <v>0</v>
      </c>
      <c r="L5" s="12">
        <f>COUNTIFS(개발일정표!$A:$A,$A$5,개발일정표!$B:$B,$B5,개발일정표!$H:$H,"&lt;&gt;삭제",개발일정표!$M:$M,"&lt;&gt;검수제외",개발일정표!$R:$R,"=L3",개발일정표!$Q:$Q,"&lt;="&amp;$C$1)+COUNTIFS(개발일정표!$A:$A,$A$5,개발일정표!$B:$B,$B5,개발일정표!$H:$H,"&lt;&gt;삭제",개발일정표!$M:$M,"&lt;&gt;검수제외",개발일정표!$R:$R,"=L1",개발일정표!$S:$S,"=Y",개발일정표!$Q:$Q,"&lt;="&amp;$C$1)+COUNTIFS(개발일정표!$A:$A,$A$5,개발일정표!$B:$B,$B5,개발일정표!$H:$H,"&lt;&gt;삭제",개발일정표!$M:$M,"&lt;&gt;검수제외",개발일정표!$R:$R,"=L2",개발일정표!$S:$S,"=Y",개발일정표!$Q:$Q,"&lt;="&amp;$C$1)</f>
        <v>0</v>
      </c>
      <c r="M5" s="12">
        <f>COUNTIFS(개발일정표!$A:$A,$A$5,개발일정표!$B:$B,$B5,개발일정표!$H:$H,"&lt;&gt;삭제",개발일정표!$M:$M,"&lt;&gt;검수제외",개발일정표!$R:$R,"=L2")-COUNTIFS(개발일정표!$A:$A,$A$5,개발일정표!$B:$B,$B5,개발일정표!$H:$H,"&lt;&gt;삭제",개발일정표!$M:$M,"&lt;&gt;검수제외",개발일정표!$R:$R,"=L2",개발일정표!$S:$S,"=Y",개발일정표!$Q:$Q,"&lt;="&amp;$C$1)</f>
        <v>0</v>
      </c>
      <c r="N5" s="13">
        <f>K5-(L5+M5)</f>
        <v>0</v>
      </c>
      <c r="O5" s="12">
        <f>COUNTIFS(개발일정표!$A:$A,$A$5,개발일정표!$B:$B,$B5,개발일정표!$H:$H,"&lt;&gt;삭제",개발일정표!$M:$M,"&lt;&gt;검수제외",개발일정표!$R:$R,"=L1")-COUNTIFS(개발일정표!$A:$A,$A$5,개발일정표!$B:$B,$B5,개발일정표!$H:$H,"&lt;&gt;삭제",개발일정표!$M:$M,"&lt;&gt;검수제외",개발일정표!$R:$R,"=L1",개발일정표!$S:$S,"=Y",개발일정표!$Q:$Q,"&lt;="&amp;$C$1)</f>
        <v>0</v>
      </c>
      <c r="P5" s="14">
        <f>IF(K5=0, 0,(L5+M5)/K5)</f>
        <v>0</v>
      </c>
      <c r="Q5" s="14">
        <f>IF(C5=0,0,(L5+M5)/C5)</f>
        <v>0</v>
      </c>
      <c r="R5" s="12">
        <f>COUNTIFS(개발일정표!$A:$A,$A$5,개발일정표!$B:$B,$B5,개발일정표!$H:$H,"&lt;&gt;삭제",개발일정표!$T:$T,"&lt;&gt;검수제외")</f>
        <v>20</v>
      </c>
      <c r="S5" s="12">
        <f>COUNTIFS(개발일정표!$A:$A,$A$5,개발일정표!$B:$B,$B5,개발일정표!$H:$H,"&lt;&gt;삭제",개발일정표!$T:$T,"&lt;&gt;검수제외",개발일정표!$V:$V,"&lt;="&amp;$C$1)</f>
        <v>0</v>
      </c>
      <c r="T5" s="12">
        <f>COUNTIFS(개발일정표!$A:$A,$A$5,개발일정표!$B:$B,$B5,개발일정표!$H:$H,"&lt;&gt;삭제",개발일정표!$T:$T,"&lt;&gt;검수제외",개발일정표!$Y:$Y,"=L3",개발일정표!$X:$X,"&lt;="&amp;$C$1)+COUNTIFS(개발일정표!$A:$A,$A$5,개발일정표!$B:$B,$B5,개발일정표!$H:$H,"&lt;&gt;삭제",개발일정표!$T:$T,"&lt;&gt;검수제외",개발일정표!$Y:$Y,"=L1",개발일정표!$Z:$Z,"=Y",개발일정표!$X:$X,"&lt;="&amp;$C$1)+COUNTIFS(개발일정표!$A:$A,$A$5,개발일정표!$B:$B,$B5,개발일정표!$H:$H,"&lt;&gt;삭제",개발일정표!$T:$T,"&lt;&gt;검수제외",개발일정표!$Y:$Y,"=L2",개발일정표!$Z:$Z,"=Y",개발일정표!$X:$X,"&lt;="&amp;$C$1)</f>
        <v>0</v>
      </c>
      <c r="U5" s="12">
        <f>COUNTIFS(개발일정표!$A:$A,$A$5,개발일정표!$B:$B,$B5,개발일정표!$H:$H,"&lt;&gt;삭제",개발일정표!$T:$T,"&lt;&gt;검수제외",개발일정표!$Y:$Y,"=L2")-COUNTIFS(개발일정표!$A:$A,$A$5,개발일정표!$B:$B,$B5,개발일정표!$H:$H,"&lt;&gt;삭제",개발일정표!$T:$T,"&lt;&gt;검수제외",개발일정표!$Y:$Y,"=L2",개발일정표!$Z:$Z,"=Y",개발일정표!$X:$X,"&lt;="&amp;$C$1)</f>
        <v>0</v>
      </c>
      <c r="V5" s="13">
        <f>S5-(T5+U5)</f>
        <v>0</v>
      </c>
      <c r="W5" s="12">
        <f>COUNTIFS(개발일정표!$A:$A,$A$5,개발일정표!$B:$B,$B5,개발일정표!$H:$H,"&lt;&gt;삭제",개발일정표!$T:$T,"&lt;&gt;검수제외",개발일정표!$Y:$Y,"=L1")-COUNTIFS(개발일정표!$A:$A,$A$5,개발일정표!$B:$B,$B5,개발일정표!$H:$H,"&lt;&gt;삭제",개발일정표!$T:$T,"&lt;&gt;검수제외",개발일정표!$Y:$Y,"=L1",개발일정표!$Z:$Z,"=Y",개발일정표!$X:$X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COUNTIFS(개발일정표!$A:$A,$A$5,개발일정표!$B:$B,$B5,개발일정표!$H:$H,"&lt;&gt;삭제",개발일정표!$AA:$AA,"&lt;&gt;검수제외")</f>
        <v>20</v>
      </c>
      <c r="AA5" s="12">
        <f>COUNTIFS(개발일정표!$A:$A,$A$5,개발일정표!$B:$B,$B5,개발일정표!$H:$H,"&lt;&gt;삭제",개발일정표!$AA:$AA,"&lt;&gt;검수제외",개발일정표!$AC:$AC,"&lt;="&amp;$C$1)</f>
        <v>0</v>
      </c>
      <c r="AB5" s="12">
        <f>COUNTIFS(개발일정표!$A:$A,$A$5,개발일정표!$B:$B,$B5,개발일정표!$H:$H,"&lt;&gt;삭제",개발일정표!$AA:$AA,"&lt;&gt;검수제외",개발일정표!$AF:$AF,"=L3",개발일정표!$AE:$AE,"&lt;="&amp;$C$1)+COUNTIFS(개발일정표!$A:$A,$A$5,개발일정표!$B:$B,$B5,개발일정표!$H:$H,"&lt;&gt;삭제",개발일정표!$AA:$AA,"&lt;&gt;검수제외",개발일정표!$AF:$AF,"=L1",개발일정표!$AG:$AG,"=Y",개발일정표!$AE:$AE,"&lt;="&amp;$C$1)+COUNTIFS(개발일정표!$A:$A,$A$5,개발일정표!$B:$B,$B5,개발일정표!$H:$H,"&lt;&gt;삭제",개발일정표!$AA:$AA,"&lt;&gt;검수제외",개발일정표!$AF:$AF,"=L2",개발일정표!$AG:$AG,"=Y",개발일정표!$AE:$AE,"&lt;="&amp;$C$1)</f>
        <v>0</v>
      </c>
      <c r="AC5" s="12">
        <f>COUNTIFS(개발일정표!$A:$A,$A$5,개발일정표!$B:$B,$B5,개발일정표!$H:$H,"&lt;&gt;삭제",개발일정표!$AA:$AA,"&lt;&gt;검수제외",개발일정표!$AF:$AF,"=L2")-COUNTIFS(개발일정표!$A:$A,$A$5,개발일정표!$B:$B,$B5,개발일정표!$H:$H,"&lt;&gt;삭제",개발일정표!$AA:$AA,"&lt;&gt;검수제외",개발일정표!$AF:$AF,"=L2",개발일정표!$AG:$AG,"=Y",개발일정표!$AE:$AE,"&lt;="&amp;$C$1)</f>
        <v>0</v>
      </c>
      <c r="AD5" s="59">
        <f>AA5-(AB5+AC5)</f>
        <v>0</v>
      </c>
      <c r="AE5" s="12">
        <f>COUNTIFS(개발일정표!$A:$A,$A$5,개발일정표!$B:$B,$B5,개발일정표!$H:$H,"&lt;&gt;삭제",개발일정표!$AA:$AA,"&lt;&gt;검수제외",개발일정표!$AF:$AF,"=L1")-COUNTIFS(개발일정표!$A:$A,$A$5,개발일정표!$B:$B,$B5,개발일정표!$H:$H,"&lt;&gt;삭제",개발일정표!$AA:$AA,"&lt;&gt;검수제외",개발일정표!$AF:$AF,"=L1",개발일정표!$AG:$AG,"=Y",개발일정표!$AE:$AE,"&lt;="&amp;$C$1)</f>
        <v>0</v>
      </c>
      <c r="AF5" s="14">
        <f>IF(AA5=0, 0,(AB5+AC5)/AA5)</f>
        <v>0</v>
      </c>
      <c r="AG5" s="14">
        <f>IF(Z5=0,0,(AB5+AC5)/Z5)</f>
        <v>0</v>
      </c>
      <c r="AH5" s="58">
        <f>COUNTIFS(개발일정표!$A:$A,$A$5,개발일정표!$B:$B,$B5,개발일정표!$H:$H,"&lt;&gt;삭제",개발일정표!$J:$J,"&lt;&gt;미정")</f>
        <v>20</v>
      </c>
      <c r="AI5" s="58">
        <f>COUNTIFS(개발일정표!$A:$A,$A$5,개발일정표!$B:$B,$B5,개발일정표!$H:$H,"&lt;&gt;삭제",개발일정표!$J:$J,"=미정")</f>
        <v>0</v>
      </c>
    </row>
    <row r="6" spans="1:35" ht="14.25" customHeight="1">
      <c r="A6" s="158"/>
      <c r="B6" s="11" t="s">
        <v>430</v>
      </c>
      <c r="C6" s="12">
        <f>COUNTIFS(개발일정표!$A:$A,$A$5,개발일정표!$B:$B,$B6,개발일정표!$H:$H,"&lt;&gt;삭제")</f>
        <v>11</v>
      </c>
      <c r="D6" s="12">
        <f>COUNTIFS(개발일정표!$A:$A,$A$5,개발일정표!$B:$B,$B6,개발일정표!$H:$H,"&lt;&gt;삭제",개발일정표!$J:$J,"&lt;="&amp;$C$1)</f>
        <v>0</v>
      </c>
      <c r="E6" s="12">
        <f>COUNTIFS(개발일정표!$A:$A,$A$5,개발일정표!$B:$B,$B6,개발일정표!$H:$H,"&lt;&gt;삭제",개발일정표!$L:$L,"&lt;="&amp;$C$1)</f>
        <v>0</v>
      </c>
      <c r="F6" s="13">
        <f t="shared" si="0"/>
        <v>0</v>
      </c>
      <c r="G6" s="35">
        <f>COUNTIFS(개발일정표!$A:$A,$A$5,개발일정표!$B:$B,$B6,개발일정표!$H:$H,"&lt;&gt;삭제",개발일정표!$K:$K,"&lt;="&amp;$C$1,개발일정표!$L:$L,"")</f>
        <v>0</v>
      </c>
      <c r="H6" s="35">
        <f>COUNTIFS(개발일정표!$A:$A,$A$5,개발일정표!$B:$B,$B6,개발일정표!$H:$H,"&lt;&gt;삭제",개발일정표!$J:$J,"="&amp;$C$1)</f>
        <v>0</v>
      </c>
      <c r="I6" s="14">
        <f t="shared" ref="I6" si="1">IF(D6=0,0,E6/D6)</f>
        <v>0</v>
      </c>
      <c r="J6" s="14">
        <f t="shared" ref="J6" si="2">IF(C6=0,0,E6/C6)</f>
        <v>0</v>
      </c>
      <c r="K6" s="12">
        <f>COUNTIFS(개발일정표!$A:$A,$A$5,개발일정표!$B:$B,$B6,개발일정표!$H:$H,"&lt;&gt;삭제",개발일정표!$M:$M,"&lt;&gt;검수제외",개발일정표!$O:$O,"&lt;="&amp;$C$1)</f>
        <v>0</v>
      </c>
      <c r="L6" s="58">
        <f>COUNTIFS(개발일정표!$A:$A,$A$5,개발일정표!$B:$B,$B6,개발일정표!$H:$H,"&lt;&gt;삭제",개발일정표!$M:$M,"&lt;&gt;검수제외",개발일정표!$R:$R,"=L3",개발일정표!$Q:$Q,"&lt;="&amp;$C$1)+COUNTIFS(개발일정표!$A:$A,$A$5,개발일정표!$B:$B,$B6,개발일정표!$H:$H,"&lt;&gt;삭제",개발일정표!$M:$M,"&lt;&gt;검수제외",개발일정표!$R:$R,"=L1",개발일정표!$S:$S,"=Y",개발일정표!$Q:$Q,"&lt;="&amp;$C$1)+COUNTIFS(개발일정표!$A:$A,$A$5,개발일정표!$B:$B,$B6,개발일정표!$H:$H,"&lt;&gt;삭제",개발일정표!$M:$M,"&lt;&gt;검수제외",개발일정표!$R:$R,"=L2",개발일정표!$S:$S,"=Y",개발일정표!$Q:$Q,"&lt;="&amp;$C$1)</f>
        <v>0</v>
      </c>
      <c r="M6" s="58">
        <f>COUNTIFS(개발일정표!$A:$A,$A$5,개발일정표!$B:$B,$B6,개발일정표!$H:$H,"&lt;&gt;삭제",개발일정표!$M:$M,"&lt;&gt;검수제외",개발일정표!$R:$R,"=L2")-COUNTIFS(개발일정표!$A:$A,$A$5,개발일정표!$B:$B,$B6,개발일정표!$H:$H,"&lt;&gt;삭제",개발일정표!$M:$M,"&lt;&gt;검수제외",개발일정표!$R:$R,"=L2",개발일정표!$S:$S,"=Y",개발일정표!$Q:$Q,"&lt;="&amp;$C$1)</f>
        <v>0</v>
      </c>
      <c r="N6" s="13">
        <f t="shared" ref="N6" si="3">K6-(L6+M6)</f>
        <v>0</v>
      </c>
      <c r="O6" s="58">
        <f>COUNTIFS(개발일정표!$A:$A,$A$5,개발일정표!$B:$B,$B6,개발일정표!$H:$H,"&lt;&gt;삭제",개발일정표!$M:$M,"&lt;&gt;검수제외",개발일정표!$R:$R,"=L1")-COUNTIFS(개발일정표!$A:$A,$A$5,개발일정표!$B:$B,$B6,개발일정표!$H:$H,"&lt;&gt;삭제",개발일정표!$M:$M,"&lt;&gt;검수제외",개발일정표!$R:$R,"=L1",개발일정표!$S:$S,"=Y",개발일정표!$Q:$Q,"&lt;="&amp;$C$1)</f>
        <v>0</v>
      </c>
      <c r="P6" s="14">
        <f t="shared" ref="P6" si="4">IF(K6=0, 0,(L6+M6)/K6)</f>
        <v>0</v>
      </c>
      <c r="Q6" s="14">
        <f t="shared" ref="Q6" si="5">IF(C6=0,0,(L6+M6)/C6)</f>
        <v>0</v>
      </c>
      <c r="R6" s="12">
        <f>COUNTIFS(개발일정표!$A:$A,$A$5,개발일정표!$B:$B,$B6,개발일정표!$H:$H,"&lt;&gt;삭제",개발일정표!$T:$T,"&lt;&gt;검수제외")</f>
        <v>11</v>
      </c>
      <c r="S6" s="45">
        <f>COUNTIFS(개발일정표!$A:$A,$A$5,개발일정표!$B:$B,$B6,개발일정표!$H:$H,"&lt;&gt;삭제",개발일정표!$T:$T,"&lt;&gt;검수제외",개발일정표!$V:$V,"&lt;="&amp;$C$1)</f>
        <v>0</v>
      </c>
      <c r="T6" s="58">
        <f>COUNTIFS(개발일정표!$A:$A,$A$5,개발일정표!$B:$B,$B6,개발일정표!$H:$H,"&lt;&gt;삭제",개발일정표!$T:$T,"&lt;&gt;검수제외",개발일정표!$Y:$Y,"=L3",개발일정표!$X:$X,"&lt;="&amp;$C$1)+COUNTIFS(개발일정표!$A:$A,$A$5,개발일정표!$B:$B,$B6,개발일정표!$H:$H,"&lt;&gt;삭제",개발일정표!$T:$T,"&lt;&gt;검수제외",개발일정표!$Y:$Y,"=L1",개발일정표!$Z:$Z,"=Y",개발일정표!$X:$X,"&lt;="&amp;$C$1)+COUNTIFS(개발일정표!$A:$A,$A$5,개발일정표!$B:$B,$B6,개발일정표!$H:$H,"&lt;&gt;삭제",개발일정표!$T:$T,"&lt;&gt;검수제외",개발일정표!$Y:$Y,"=L2",개발일정표!$Z:$Z,"=Y",개발일정표!$X:$X,"&lt;="&amp;$C$1)</f>
        <v>0</v>
      </c>
      <c r="U6" s="58">
        <f>COUNTIFS(개발일정표!$A:$A,$A$5,개발일정표!$B:$B,$B6,개발일정표!$H:$H,"&lt;&gt;삭제",개발일정표!$T:$T,"&lt;&gt;검수제외",개발일정표!$Y:$Y,"=L2")-COUNTIFS(개발일정표!$A:$A,$A$5,개발일정표!$B:$B,$B6,개발일정표!$H:$H,"&lt;&gt;삭제",개발일정표!$T:$T,"&lt;&gt;검수제외",개발일정표!$Y:$Y,"=L2",개발일정표!$Z:$Z,"=Y",개발일정표!$X:$X,"&lt;="&amp;$C$1)</f>
        <v>0</v>
      </c>
      <c r="V6" s="13">
        <f t="shared" ref="V6" si="6">S6-(T6+U6)</f>
        <v>0</v>
      </c>
      <c r="W6" s="58">
        <f>COUNTIFS(개발일정표!$A:$A,$A$5,개발일정표!$B:$B,$B6,개발일정표!$H:$H,"&lt;&gt;삭제",개발일정표!$T:$T,"&lt;&gt;검수제외",개발일정표!$Y:$Y,"=L1")-COUNTIFS(개발일정표!$A:$A,$A$5,개발일정표!$B:$B,$B6,개발일정표!$H:$H,"&lt;&gt;삭제",개발일정표!$T:$T,"&lt;&gt;검수제외",개발일정표!$Y:$Y,"=L1",개발일정표!$Z:$Z,"=Y",개발일정표!$X:$X,"&lt;="&amp;$C$1)</f>
        <v>0</v>
      </c>
      <c r="X6" s="14">
        <f t="shared" ref="X6" si="7">IF(S6=0, 0,(T6+U6)/S6)</f>
        <v>0</v>
      </c>
      <c r="Y6" s="14">
        <f t="shared" ref="Y6" si="8">IF(R6=0,0,(T6+U6)/R6)</f>
        <v>0</v>
      </c>
      <c r="Z6" s="12">
        <f>COUNTIFS(개발일정표!$A:$A,$A$5,개발일정표!$B:$B,$B6,개발일정표!$H:$H,"&lt;&gt;삭제",개발일정표!$AA:$AA,"&lt;&gt;검수제외")</f>
        <v>11</v>
      </c>
      <c r="AA6" s="45">
        <f>COUNTIFS(개발일정표!$A:$A,$A$5,개발일정표!$B:$B,$B6,개발일정표!$H:$H,"&lt;&gt;삭제",개발일정표!$AA:$AA,"&lt;&gt;검수제외",개발일정표!$AC:$AC,"&lt;="&amp;$C$1)</f>
        <v>0</v>
      </c>
      <c r="AB6" s="58">
        <f>COUNTIFS(개발일정표!$A:$A,$A$5,개발일정표!$B:$B,$B6,개발일정표!$H:$H,"&lt;&gt;삭제",개발일정표!$AA:$AA,"&lt;&gt;검수제외",개발일정표!$AF:$AF,"=L3",개발일정표!$AE:$AE,"&lt;="&amp;$C$1)+COUNTIFS(개발일정표!$A:$A,$A$5,개발일정표!$B:$B,$B6,개발일정표!$H:$H,"&lt;&gt;삭제",개발일정표!$AA:$AA,"&lt;&gt;검수제외",개발일정표!$AF:$AF,"=L1",개발일정표!$AG:$AG,"=Y",개발일정표!$AE:$AE,"&lt;="&amp;$C$1)+COUNTIFS(개발일정표!$A:$A,$A$5,개발일정표!$B:$B,$B6,개발일정표!$H:$H,"&lt;&gt;삭제",개발일정표!$AA:$AA,"&lt;&gt;검수제외",개발일정표!$AF:$AF,"=L2",개발일정표!$AG:$AG,"=Y",개발일정표!$AE:$AE,"&lt;="&amp;$C$1)</f>
        <v>0</v>
      </c>
      <c r="AC6" s="58">
        <f>COUNTIFS(개발일정표!$A:$A,$A$5,개발일정표!$B:$B,$B6,개발일정표!$H:$H,"&lt;&gt;삭제",개발일정표!$AA:$AA,"&lt;&gt;검수제외",개발일정표!$AF:$AF,"=L2")-COUNTIFS(개발일정표!$A:$A,$A$5,개발일정표!$B:$B,$B6,개발일정표!$H:$H,"&lt;&gt;삭제",개발일정표!$AA:$AA,"&lt;&gt;검수제외",개발일정표!$AF:$AF,"=L2",개발일정표!$AG:$AG,"=Y",개발일정표!$AE:$AE,"&lt;="&amp;$C$1)</f>
        <v>0</v>
      </c>
      <c r="AD6" s="59">
        <f t="shared" ref="AD6" si="9">AA6-(AB6+AC6)</f>
        <v>0</v>
      </c>
      <c r="AE6" s="58">
        <f>COUNTIFS(개발일정표!$A:$A,$A$5,개발일정표!$B:$B,$B6,개발일정표!$H:$H,"&lt;&gt;삭제",개발일정표!$AA:$AA,"&lt;&gt;검수제외",개발일정표!$AF:$AF,"=L1")-COUNTIFS(개발일정표!$A:$A,$A$5,개발일정표!$B:$B,$B6,개발일정표!$H:$H,"&lt;&gt;삭제",개발일정표!$AA:$AA,"&lt;&gt;검수제외",개발일정표!$AF:$AF,"=L1",개발일정표!$AG:$AG,"=Y",개발일정표!$AE:$AE,"&lt;="&amp;$C$1)</f>
        <v>0</v>
      </c>
      <c r="AF6" s="14">
        <f t="shared" ref="AF6" si="10">IF(AA6=0, 0,(AB6+AC6)/AA6)</f>
        <v>0</v>
      </c>
      <c r="AG6" s="14">
        <f t="shared" ref="AG6" si="11">IF(Z6=0,0,(AB6+AC6)/Z6)</f>
        <v>0</v>
      </c>
      <c r="AH6" s="58">
        <f>COUNTIFS(개발일정표!$A:$A,$A$5,개발일정표!$B:$B,$B6,개발일정표!$H:$H,"&lt;&gt;삭제",개발일정표!$J:$J,"&lt;&gt;미정")</f>
        <v>0</v>
      </c>
      <c r="AI6" s="58">
        <f>COUNTIFS(개발일정표!$A:$A,$A$5,개발일정표!$B:$B,$B6,개발일정표!$H:$H,"&lt;&gt;삭제",개발일정표!$J:$J,"=미정")</f>
        <v>11</v>
      </c>
    </row>
    <row r="7" spans="1:35" ht="14.25" customHeight="1">
      <c r="A7" s="158"/>
      <c r="B7" s="15" t="s">
        <v>57</v>
      </c>
      <c r="C7" s="16">
        <f t="shared" ref="C7:H7" si="12">SUM(C5:C6)</f>
        <v>31</v>
      </c>
      <c r="D7" s="16">
        <f t="shared" si="12"/>
        <v>18</v>
      </c>
      <c r="E7" s="16">
        <f t="shared" si="12"/>
        <v>9</v>
      </c>
      <c r="F7" s="16">
        <f t="shared" si="12"/>
        <v>9</v>
      </c>
      <c r="G7" s="36">
        <f t="shared" si="12"/>
        <v>8</v>
      </c>
      <c r="H7" s="36">
        <f t="shared" si="12"/>
        <v>2</v>
      </c>
      <c r="I7" s="21">
        <f t="shared" ref="I7:I12" si="13">IF(D7=0,0,E7/D7)</f>
        <v>0.5</v>
      </c>
      <c r="J7" s="21">
        <f t="shared" ref="J7:J12" si="14">IF(C7=0,0,E7/C7)</f>
        <v>0.29032258064516131</v>
      </c>
      <c r="K7" s="20">
        <f>SUM(K5:K6)</f>
        <v>0</v>
      </c>
      <c r="L7" s="20">
        <f>SUM(L5:L6)</f>
        <v>0</v>
      </c>
      <c r="M7" s="20">
        <f>SUM(M5:M6)</f>
        <v>0</v>
      </c>
      <c r="N7" s="20">
        <f>SUM(N5:N6)</f>
        <v>0</v>
      </c>
      <c r="O7" s="20">
        <f>SUM(O5:O6)</f>
        <v>0</v>
      </c>
      <c r="P7" s="21">
        <f t="shared" ref="P7:P12" si="15">IF(K7=0, 0,(L7+M7)/K7)</f>
        <v>0</v>
      </c>
      <c r="Q7" s="21">
        <f t="shared" ref="Q7:Q12" si="16">IF(C7=0,0,(L7+M7)/C7)</f>
        <v>0</v>
      </c>
      <c r="R7" s="20">
        <f t="shared" ref="R7:W7" si="17">SUM(R5:R6)</f>
        <v>31</v>
      </c>
      <c r="S7" s="20">
        <f t="shared" si="17"/>
        <v>0</v>
      </c>
      <c r="T7" s="20">
        <f t="shared" si="17"/>
        <v>0</v>
      </c>
      <c r="U7" s="20">
        <f t="shared" si="17"/>
        <v>0</v>
      </c>
      <c r="V7" s="20">
        <f t="shared" si="17"/>
        <v>0</v>
      </c>
      <c r="W7" s="20">
        <f t="shared" si="17"/>
        <v>0</v>
      </c>
      <c r="X7" s="21">
        <f t="shared" ref="X7:X12" si="18">IF(S7=0, 0,(T7+U7)/S7)</f>
        <v>0</v>
      </c>
      <c r="Y7" s="21">
        <f t="shared" ref="Y7:Y12" si="19">IF(R7=0,0,(T7+U7)/R7)</f>
        <v>0</v>
      </c>
      <c r="Z7" s="20">
        <f t="shared" ref="Z7:AE7" si="20">SUM(Z5:Z6)</f>
        <v>31</v>
      </c>
      <c r="AA7" s="20">
        <f t="shared" si="20"/>
        <v>0</v>
      </c>
      <c r="AB7" s="20">
        <f t="shared" si="20"/>
        <v>0</v>
      </c>
      <c r="AC7" s="20">
        <f t="shared" si="20"/>
        <v>0</v>
      </c>
      <c r="AD7" s="20">
        <f t="shared" si="20"/>
        <v>0</v>
      </c>
      <c r="AE7" s="20">
        <f t="shared" si="20"/>
        <v>0</v>
      </c>
      <c r="AF7" s="21">
        <f>IF(AA7=0,0,(AB7+AC7)/AA7)</f>
        <v>0</v>
      </c>
      <c r="AG7" s="21">
        <f t="shared" ref="AG7:AG12" si="21">IF(Z7=0,0,(AB7+AC7)/Z7)</f>
        <v>0</v>
      </c>
      <c r="AH7" s="61">
        <f t="shared" ref="AH7:AI7" si="22">SUM(AH5:AH6)</f>
        <v>20</v>
      </c>
      <c r="AI7" s="61">
        <f t="shared" si="22"/>
        <v>11</v>
      </c>
    </row>
    <row r="8" spans="1:35" ht="14.25" customHeight="1">
      <c r="A8" s="158" t="s">
        <v>189</v>
      </c>
      <c r="B8" s="11" t="s">
        <v>196</v>
      </c>
      <c r="C8" s="12">
        <f>COUNTIFS(개발일정표!$A:$A,$A$8,개발일정표!$B:$B,$B8,개발일정표!$H:$H,"&lt;&gt;삭제")</f>
        <v>6</v>
      </c>
      <c r="D8" s="12">
        <f>COUNTIFS(개발일정표!$A:$A,$A$8,개발일정표!$B:$B,$B8,개발일정표!$H:$H,"&lt;&gt;삭제",개발일정표!$J:$J,"&lt;="&amp;$C$1)</f>
        <v>0</v>
      </c>
      <c r="E8" s="12">
        <f>COUNTIFS(개발일정표!$A:$A,$A$8,개발일정표!$B:$B,$B8,개발일정표!$H:$H,"&lt;&gt;삭제",개발일정표!$L:$L,"&lt;="&amp;$C$1)</f>
        <v>0</v>
      </c>
      <c r="F8" s="13">
        <f>D8-E8</f>
        <v>0</v>
      </c>
      <c r="G8" s="35">
        <f>COUNTIFS(개발일정표!$A:$A,$A$8,개발일정표!$B:$B,$B8,개발일정표!$H:$H,"&lt;&gt;삭제",개발일정표!$K:$K,"&lt;="&amp;$C$1,개발일정표!$L:$L,"")</f>
        <v>0</v>
      </c>
      <c r="H8" s="35">
        <f>COUNTIFS(개발일정표!$A:$A,$A$8,개발일정표!$B:$B,$B8,개발일정표!$H:$H,"&lt;&gt;삭제",개발일정표!$J:$J,"="&amp;$C$1)</f>
        <v>0</v>
      </c>
      <c r="I8" s="14">
        <f t="shared" si="13"/>
        <v>0</v>
      </c>
      <c r="J8" s="14">
        <f t="shared" si="14"/>
        <v>0</v>
      </c>
      <c r="K8" s="12">
        <f>COUNTIFS(개발일정표!$A:$A,$A$8,개발일정표!$B:$B,$B8,개발일정표!$H:$H,"&lt;&gt;삭제",개발일정표!$M:$M,"&lt;&gt;검수제외",개발일정표!$O:$O,"&lt;="&amp;$C$1)</f>
        <v>0</v>
      </c>
      <c r="L8" s="12">
        <f>COUNTIFS(개발일정표!$A:$A,$A$8,개발일정표!$B:$B,$B8,개발일정표!$H:$H,"&lt;&gt;삭제",개발일정표!$M:$M,"&lt;&gt;검수제외",개발일정표!$R:$R,"=L3",개발일정표!$Q:$Q,"&lt;="&amp;$C$1)+COUNTIFS(개발일정표!$A:$A,$A$8,개발일정표!$B:$B,$B8,개발일정표!$H:$H,"&lt;&gt;삭제",개발일정표!$M:$M,"&lt;&gt;검수제외",개발일정표!$R:$R,"=L1",개발일정표!$S:$S,"=Y",개발일정표!$Q:$Q,"&lt;="&amp;$C$1)+COUNTIFS(개발일정표!$A:$A,$A$8,개발일정표!$B:$B,$B8,개발일정표!$H:$H,"&lt;&gt;삭제",개발일정표!$M:$M,"&lt;&gt;검수제외",개발일정표!$R:$R,"=L2",개발일정표!$S:$S,"=Y",개발일정표!$Q:$Q,"&lt;="&amp;$C$1)</f>
        <v>0</v>
      </c>
      <c r="M8" s="12">
        <f>COUNTIFS(개발일정표!$A:$A,$A$8,개발일정표!$B:$B,$B8,개발일정표!$H:$H,"&lt;&gt;삭제",개발일정표!$M:$M,"&lt;&gt;검수제외",개발일정표!$R:$R,"=L2")-COUNTIFS(개발일정표!$A:$A,$A$8,개발일정표!$B:$B,$B8,개발일정표!$H:$H,"&lt;&gt;삭제",개발일정표!$M:$M,"&lt;&gt;검수제외",개발일정표!$R:$R,"=L2",개발일정표!$S:$S,"=Y",개발일정표!$Q:$Q,"&lt;="&amp;$C$1)</f>
        <v>0</v>
      </c>
      <c r="N8" s="13">
        <f>K8-(L8+M8)</f>
        <v>0</v>
      </c>
      <c r="O8" s="12">
        <f>COUNTIFS(개발일정표!$A:$A,$A$8,개발일정표!$B:$B,$B8,개발일정표!$H:$H,"&lt;&gt;삭제",개발일정표!$M:$M,"&lt;&gt;검수제외",개발일정표!$R:$R,"=L1")-COUNTIFS(개발일정표!$A:$A,$A$8,개발일정표!$B:$B,$B8,개발일정표!$H:$H,"&lt;&gt;삭제",개발일정표!$M:$M,"&lt;&gt;검수제외",개발일정표!$R:$R,"=L1",개발일정표!$S:$S,"=Y",개발일정표!$Q:$Q,"&lt;="&amp;$C$1)</f>
        <v>0</v>
      </c>
      <c r="P8" s="14">
        <f t="shared" si="15"/>
        <v>0</v>
      </c>
      <c r="Q8" s="14">
        <f t="shared" si="16"/>
        <v>0</v>
      </c>
      <c r="R8" s="12">
        <f>COUNTIFS(개발일정표!$A:$A,$A$8,개발일정표!$B:$B,$B8,개발일정표!$H:$H,"&lt;&gt;삭제",개발일정표!$T:$T,"&lt;&gt;검수제외")</f>
        <v>6</v>
      </c>
      <c r="S8" s="12">
        <f>COUNTIFS(개발일정표!$A:$A,$A$8,개발일정표!$B:$B,$B8,개발일정표!$H:$H,"&lt;&gt;삭제",개발일정표!$T:$T,"&lt;&gt;검수제외",개발일정표!$V:$V,"&lt;="&amp;$C$1)</f>
        <v>0</v>
      </c>
      <c r="T8" s="12">
        <f>COUNTIFS(개발일정표!$A:$A,$A$8,개발일정표!$B:$B,$B8,개발일정표!$H:$H,"&lt;&gt;삭제",개발일정표!$T:$T,"&lt;&gt;검수제외",개발일정표!$Y:$Y,"=L3",개발일정표!$X:$X,"&lt;="&amp;$C$1)+COUNTIFS(개발일정표!$A:$A,$A$8,개발일정표!$B:$B,$B8,개발일정표!$H:$H,"&lt;&gt;삭제",개발일정표!$T:$T,"&lt;&gt;검수제외",개발일정표!$Y:$Y,"=L1",개발일정표!$Z:$Z,"=Y",개발일정표!$X:$X,"&lt;="&amp;$C$1)+COUNTIFS(개발일정표!$A:$A,$A$8,개발일정표!$B:$B,$B8,개발일정표!$H:$H,"&lt;&gt;삭제",개발일정표!$T:$T,"&lt;&gt;검수제외",개발일정표!$Y:$Y,"=L2",개발일정표!$Z:$Z,"=Y",개발일정표!$X:$X,"&lt;="&amp;$C$1)</f>
        <v>0</v>
      </c>
      <c r="U8" s="12">
        <f>COUNTIFS(개발일정표!$A:$A,$A$8,개발일정표!$B:$B,$B8,개발일정표!$H:$H,"&lt;&gt;삭제",개발일정표!$T:$T,"&lt;&gt;검수제외",개발일정표!$Y:$Y,"=L2")-COUNTIFS(개발일정표!$A:$A,$A$8,개발일정표!$B:$B,$B8,개발일정표!$H:$H,"&lt;&gt;삭제",개발일정표!$T:$T,"&lt;&gt;검수제외",개발일정표!$Y:$Y,"=L2",개발일정표!$Z:$Z,"=Y",개발일정표!$X:$X,"&lt;="&amp;$C$1)</f>
        <v>0</v>
      </c>
      <c r="V8" s="59">
        <f>S8-(T8+U8)</f>
        <v>0</v>
      </c>
      <c r="W8" s="12">
        <f>COUNTIFS(개발일정표!$A:$A,$A$8,개발일정표!$B:$B,$B8,개발일정표!$H:$H,"&lt;&gt;삭제",개발일정표!$T:$T,"&lt;&gt;검수제외",개발일정표!$Y:$Y,"=L1")-COUNTIFS(개발일정표!$A:$A,$A$8,개발일정표!$B:$B,$B8,개발일정표!$H:$H,"&lt;&gt;삭제",개발일정표!$T:$T,"&lt;&gt;검수제외",개발일정표!$Y:$Y,"=L1",개발일정표!$Z:$Z,"=Y",개발일정표!$X:$X,"&lt;="&amp;$C$1)</f>
        <v>0</v>
      </c>
      <c r="X8" s="14">
        <f t="shared" si="18"/>
        <v>0</v>
      </c>
      <c r="Y8" s="14">
        <f t="shared" si="19"/>
        <v>0</v>
      </c>
      <c r="Z8" s="12">
        <f>COUNTIFS(개발일정표!$A:$A,$A$8,개발일정표!$B:$B,$B8,개발일정표!$H:$H,"&lt;&gt;삭제",개발일정표!$AA:$AA,"&lt;&gt;검수제외")</f>
        <v>6</v>
      </c>
      <c r="AA8" s="12">
        <f>COUNTIFS(개발일정표!$A:$A,$A$8,개발일정표!$B:$B,$B8,개발일정표!$H:$H,"&lt;&gt;삭제",개발일정표!$AA:$AA,"&lt;&gt;검수제외",개발일정표!$AC:$AC,"&lt;="&amp;$C$1)</f>
        <v>0</v>
      </c>
      <c r="AB8" s="12">
        <f>COUNTIFS(개발일정표!$A:$A,$A$8,개발일정표!$B:$B,$B8,개발일정표!$H:$H,"&lt;&gt;삭제",개발일정표!$AA:$AA,"&lt;&gt;검수제외",개발일정표!$AF:$AF,"=L3",개발일정표!$AE:$AE,"&lt;="&amp;$C$1)+COUNTIFS(개발일정표!$A:$A,$A$8,개발일정표!$B:$B,$B8,개발일정표!$H:$H,"&lt;&gt;삭제",개발일정표!$AA:$AA,"&lt;&gt;검수제외",개발일정표!$AF:$AF,"=L1",개발일정표!$AG:$AG,"=Y",개발일정표!$AE:$AE,"&lt;="&amp;$C$1)+COUNTIFS(개발일정표!$A:$A,$A$8,개발일정표!$B:$B,$B8,개발일정표!$H:$H,"&lt;&gt;삭제",개발일정표!$AA:$AA,"&lt;&gt;검수제외",개발일정표!$AF:$AF,"=L2",개발일정표!$AG:$AG,"=Y",개발일정표!$AE:$AE,"&lt;="&amp;$C$1)</f>
        <v>0</v>
      </c>
      <c r="AC8" s="12">
        <f>COUNTIFS(개발일정표!$A:$A,$A$8,개발일정표!$B:$B,$B8,개발일정표!$H:$H,"&lt;&gt;삭제",개발일정표!$AA:$AA,"&lt;&gt;검수제외",개발일정표!$AF:$AF,"=L2")-COUNTIFS(개발일정표!$A:$A,$A$8,개발일정표!$B:$B,$B8,개발일정표!$H:$H,"&lt;&gt;삭제",개발일정표!$AA:$AA,"&lt;&gt;검수제외",개발일정표!$AF:$AF,"=L2",개발일정표!$AG:$AG,"=Y",개발일정표!$AE:$AE,"&lt;="&amp;$C$1)</f>
        <v>0</v>
      </c>
      <c r="AD8" s="59">
        <f>AA8-(AB8+AC8)</f>
        <v>0</v>
      </c>
      <c r="AE8" s="12">
        <f>COUNTIFS(개발일정표!$A:$A,$A$8,개발일정표!$B:$B,$B8,개발일정표!$H:$H,"&lt;&gt;삭제",개발일정표!$AA:$AA,"&lt;&gt;검수제외",개발일정표!$AF:$AF,"=L1")-COUNTIFS(개발일정표!$A:$A,$A$8,개발일정표!$B:$B,$B8,개발일정표!$H:$H,"&lt;&gt;삭제",개발일정표!$AA:$AA,"&lt;&gt;검수제외",개발일정표!$AF:$AF,"=L1",개발일정표!$AG:$AG,"=Y",개발일정표!$AE:$AE,"&lt;="&amp;$C$1)</f>
        <v>0</v>
      </c>
      <c r="AF8" s="14">
        <f>IF(AA8=0, 0,(AB8+AC8)/AA8)</f>
        <v>0</v>
      </c>
      <c r="AG8" s="14">
        <f t="shared" si="21"/>
        <v>0</v>
      </c>
      <c r="AH8" s="58">
        <f>COUNTIFS(개발일정표!$A:$A,$A$8,개발일정표!$B:$B,$B8,개발일정표!$H:$H,"&lt;&gt;삭제",개발일정표!$J:$J,"&lt;&gt;미정")</f>
        <v>4</v>
      </c>
      <c r="AI8" s="58">
        <f>COUNTIFS(개발일정표!$A:$A,$A$8,개발일정표!$B:$B,$B8,개발일정표!$H:$H,"&lt;&gt;삭제",개발일정표!$J:$J,"=미정")</f>
        <v>2</v>
      </c>
    </row>
    <row r="9" spans="1:35" ht="14.25" customHeight="1">
      <c r="A9" s="158"/>
      <c r="B9" s="11" t="s">
        <v>60</v>
      </c>
      <c r="C9" s="12">
        <f>COUNTIFS(개발일정표!$A:$A,$A$8,개발일정표!$B:$B,$B9,개발일정표!$H:$H,"&lt;&gt;삭제")</f>
        <v>5</v>
      </c>
      <c r="D9" s="12">
        <f>COUNTIFS(개발일정표!$A:$A,$A$8,개발일정표!$B:$B,$B9,개발일정표!$H:$H,"&lt;&gt;삭제",개발일정표!$J:$J,"&lt;="&amp;$C$1)</f>
        <v>0</v>
      </c>
      <c r="E9" s="12">
        <f>COUNTIFS(개발일정표!$A:$A,$A$8,개발일정표!$B:$B,$B9,개발일정표!$H:$H,"&lt;&gt;삭제",개발일정표!$L:$L,"&lt;="&amp;$C$1)</f>
        <v>0</v>
      </c>
      <c r="F9" s="13">
        <f>D9-E9</f>
        <v>0</v>
      </c>
      <c r="G9" s="35">
        <f>COUNTIFS(개발일정표!$A:$A,$A$8,개발일정표!$B:$B,$B9,개발일정표!$H:$H,"&lt;&gt;삭제",개발일정표!$K:$K,"&lt;="&amp;$C$1,개발일정표!$L:$L,"")</f>
        <v>0</v>
      </c>
      <c r="H9" s="35">
        <f>COUNTIFS(개발일정표!$A:$A,$A$8,개발일정표!$B:$B,$B9,개발일정표!$H:$H,"&lt;&gt;삭제",개발일정표!$J:$J,"="&amp;$C$1)</f>
        <v>0</v>
      </c>
      <c r="I9" s="14">
        <f t="shared" si="13"/>
        <v>0</v>
      </c>
      <c r="J9" s="14">
        <f t="shared" si="14"/>
        <v>0</v>
      </c>
      <c r="K9" s="12">
        <f>COUNTIFS(개발일정표!$A:$A,$A$8,개발일정표!$B:$B,$B9,개발일정표!$H:$H,"&lt;&gt;삭제",개발일정표!$M:$M,"&lt;&gt;검수제외",개발일정표!$O:$O,"&lt;="&amp;$C$1)</f>
        <v>0</v>
      </c>
      <c r="L9" s="58">
        <f>COUNTIFS(개발일정표!$A:$A,$A$8,개발일정표!$B:$B,$B9,개발일정표!$H:$H,"&lt;&gt;삭제",개발일정표!$M:$M,"&lt;&gt;검수제외",개발일정표!$R:$R,"=L3",개발일정표!$Q:$Q,"&lt;="&amp;$C$1)+COUNTIFS(개발일정표!$A:$A,$A$8,개발일정표!$B:$B,$B9,개발일정표!$H:$H,"&lt;&gt;삭제",개발일정표!$M:$M,"&lt;&gt;검수제외",개발일정표!$R:$R,"=L1",개발일정표!$S:$S,"=Y",개발일정표!$Q:$Q,"&lt;="&amp;$C$1)+COUNTIFS(개발일정표!$A:$A,$A$8,개발일정표!$B:$B,$B9,개발일정표!$H:$H,"&lt;&gt;삭제",개발일정표!$M:$M,"&lt;&gt;검수제외",개발일정표!$R:$R,"=L2",개발일정표!$S:$S,"=Y",개발일정표!$Q:$Q,"&lt;="&amp;$C$1)</f>
        <v>0</v>
      </c>
      <c r="M9" s="58">
        <f>COUNTIFS(개발일정표!$A:$A,$A$8,개발일정표!$B:$B,$B9,개발일정표!$H:$H,"&lt;&gt;삭제",개발일정표!$M:$M,"&lt;&gt;검수제외",개발일정표!$R:$R,"=L2")-COUNTIFS(개발일정표!$A:$A,$A$8,개발일정표!$B:$B,$B9,개발일정표!$H:$H,"&lt;&gt;삭제",개발일정표!$M:$M,"&lt;&gt;검수제외",개발일정표!$R:$R,"=L2",개발일정표!$S:$S,"=Y",개발일정표!$Q:$Q,"&lt;="&amp;$C$1)</f>
        <v>0</v>
      </c>
      <c r="N9" s="13">
        <f>K9-(L9+M9)</f>
        <v>0</v>
      </c>
      <c r="O9" s="58">
        <f>COUNTIFS(개발일정표!$A:$A,$A$8,개발일정표!$B:$B,$B9,개발일정표!$H:$H,"&lt;&gt;삭제",개발일정표!$M:$M,"&lt;&gt;검수제외",개발일정표!$R:$R,"=L1")-COUNTIFS(개발일정표!$A:$A,$A$8,개발일정표!$B:$B,$B9,개발일정표!$H:$H,"&lt;&gt;삭제",개발일정표!$M:$M,"&lt;&gt;검수제외",개발일정표!$R:$R,"=L1",개발일정표!$S:$S,"=Y",개발일정표!$Q:$Q,"&lt;="&amp;$C$1)</f>
        <v>0</v>
      </c>
      <c r="P9" s="14">
        <f t="shared" si="15"/>
        <v>0</v>
      </c>
      <c r="Q9" s="14">
        <f t="shared" si="16"/>
        <v>0</v>
      </c>
      <c r="R9" s="12">
        <f>COUNTIFS(개발일정표!$A:$A,$A$8,개발일정표!$B:$B,$B9,개발일정표!$H:$H,"&lt;&gt;삭제",개발일정표!$T:$T,"&lt;&gt;검수제외")</f>
        <v>5</v>
      </c>
      <c r="S9" s="45">
        <f>COUNTIFS(개발일정표!$A:$A,$A$8,개발일정표!$B:$B,$B9,개발일정표!$H:$H,"&lt;&gt;삭제",개발일정표!$T:$T,"&lt;&gt;검수제외",개발일정표!$V:$V,"&lt;="&amp;$C$1)</f>
        <v>0</v>
      </c>
      <c r="T9" s="58">
        <f>COUNTIFS(개발일정표!$A:$A,$A$8,개발일정표!$B:$B,$B9,개발일정표!$H:$H,"&lt;&gt;삭제",개발일정표!$T:$T,"&lt;&gt;검수제외",개발일정표!$Y:$Y,"=L3",개발일정표!$X:$X,"&lt;="&amp;$C$1)+COUNTIFS(개발일정표!$A:$A,$A$8,개발일정표!$B:$B,$B9,개발일정표!$H:$H,"&lt;&gt;삭제",개발일정표!$T:$T,"&lt;&gt;검수제외",개발일정표!$Y:$Y,"=L1",개발일정표!$Z:$Z,"=Y",개발일정표!$X:$X,"&lt;="&amp;$C$1)+COUNTIFS(개발일정표!$A:$A,$A$8,개발일정표!$B:$B,$B9,개발일정표!$H:$H,"&lt;&gt;삭제",개발일정표!$T:$T,"&lt;&gt;검수제외",개발일정표!$Y:$Y,"=L2",개발일정표!$Z:$Z,"=Y",개발일정표!$X:$X,"&lt;="&amp;$C$1)</f>
        <v>0</v>
      </c>
      <c r="U9" s="58">
        <f>COUNTIFS(개발일정표!$A:$A,$A$8,개발일정표!$B:$B,$B9,개발일정표!$H:$H,"&lt;&gt;삭제",개발일정표!$T:$T,"&lt;&gt;검수제외",개발일정표!$Y:$Y,"=L2")-COUNTIFS(개발일정표!$A:$A,$A$8,개발일정표!$B:$B,$B9,개발일정표!$H:$H,"&lt;&gt;삭제",개발일정표!$T:$T,"&lt;&gt;검수제외",개발일정표!$Y:$Y,"=L2",개발일정표!$Z:$Z,"=Y",개발일정표!$X:$X,"&lt;="&amp;$C$1)</f>
        <v>0</v>
      </c>
      <c r="V9" s="59">
        <f>S9-(T9+U9)</f>
        <v>0</v>
      </c>
      <c r="W9" s="58">
        <f>COUNTIFS(개발일정표!$A:$A,$A$8,개발일정표!$B:$B,$B9,개발일정표!$H:$H,"&lt;&gt;삭제",개발일정표!$T:$T,"&lt;&gt;검수제외",개발일정표!$Y:$Y,"=L1")-COUNTIFS(개발일정표!$A:$A,$A$8,개발일정표!$B:$B,$B9,개발일정표!$H:$H,"&lt;&gt;삭제",개발일정표!$T:$T,"&lt;&gt;검수제외",개발일정표!$Y:$Y,"=L1",개발일정표!$Z:$Z,"=Y",개발일정표!$X:$X,"&lt;="&amp;$C$1)</f>
        <v>0</v>
      </c>
      <c r="X9" s="14">
        <f t="shared" si="18"/>
        <v>0</v>
      </c>
      <c r="Y9" s="14">
        <f t="shared" si="19"/>
        <v>0</v>
      </c>
      <c r="Z9" s="12">
        <f>COUNTIFS(개발일정표!$A:$A,$A$8,개발일정표!$B:$B,$B9,개발일정표!$H:$H,"&lt;&gt;삭제",개발일정표!$AA:$AA,"&lt;&gt;검수제외")</f>
        <v>5</v>
      </c>
      <c r="AA9" s="45">
        <f>COUNTIFS(개발일정표!$A:$A,$A$8,개발일정표!$B:$B,$B9,개발일정표!$H:$H,"&lt;&gt;삭제",개발일정표!$AA:$AA,"&lt;&gt;검수제외",개발일정표!$AC:$AC,"&lt;="&amp;$C$1)</f>
        <v>0</v>
      </c>
      <c r="AB9" s="58">
        <f>COUNTIFS(개발일정표!$A:$A,$A$8,개발일정표!$B:$B,$B9,개발일정표!$H:$H,"&lt;&gt;삭제",개발일정표!$AA:$AA,"&lt;&gt;검수제외",개발일정표!$AF:$AF,"=L3",개발일정표!$AE:$AE,"&lt;="&amp;$C$1)+COUNTIFS(개발일정표!$A:$A,$A$8,개발일정표!$B:$B,$B9,개발일정표!$H:$H,"&lt;&gt;삭제",개발일정표!$AA:$AA,"&lt;&gt;검수제외",개발일정표!$AF:$AF,"=L1",개발일정표!$AG:$AG,"=Y",개발일정표!$AE:$AE,"&lt;="&amp;$C$1)+COUNTIFS(개발일정표!$A:$A,$A$8,개발일정표!$B:$B,$B9,개발일정표!$H:$H,"&lt;&gt;삭제",개발일정표!$AA:$AA,"&lt;&gt;검수제외",개발일정표!$AF:$AF,"=L2",개발일정표!$AG:$AG,"=Y",개발일정표!$AE:$AE,"&lt;="&amp;$C$1)</f>
        <v>0</v>
      </c>
      <c r="AC9" s="58">
        <f>COUNTIFS(개발일정표!$A:$A,$A$8,개발일정표!$B:$B,$B9,개발일정표!$H:$H,"&lt;&gt;삭제",개발일정표!$AA:$AA,"&lt;&gt;검수제외",개발일정표!$AF:$AF,"=L2")-COUNTIFS(개발일정표!$A:$A,$A$8,개발일정표!$B:$B,$B9,개발일정표!$H:$H,"&lt;&gt;삭제",개발일정표!$AA:$AA,"&lt;&gt;검수제외",개발일정표!$AF:$AF,"=L2",개발일정표!$AG:$AG,"=Y",개발일정표!$AE:$AE,"&lt;="&amp;$C$1)</f>
        <v>0</v>
      </c>
      <c r="AD9" s="59">
        <f>AA9-(AB9+AC9)</f>
        <v>0</v>
      </c>
      <c r="AE9" s="58">
        <f>COUNTIFS(개발일정표!$A:$A,$A$8,개발일정표!$B:$B,$B9,개발일정표!$H:$H,"&lt;&gt;삭제",개발일정표!$AA:$AA,"&lt;&gt;검수제외",개발일정표!$AF:$AF,"=L1")-COUNTIFS(개발일정표!$A:$A,$A$8,개발일정표!$B:$B,$B9,개발일정표!$H:$H,"&lt;&gt;삭제",개발일정표!$AA:$AA,"&lt;&gt;검수제외",개발일정표!$AF:$AF,"=L1",개발일정표!$AG:$AG,"=Y",개발일정표!$AE:$AE,"&lt;="&amp;$C$1)</f>
        <v>0</v>
      </c>
      <c r="AF9" s="14">
        <f>IF(AA9=0, 0,(AB9+AC9)/AA9)</f>
        <v>0</v>
      </c>
      <c r="AG9" s="14">
        <f t="shared" si="21"/>
        <v>0</v>
      </c>
      <c r="AH9" s="58">
        <f>COUNTIFS(개발일정표!$A:$A,$A$8,개발일정표!$B:$B,$B9,개발일정표!$H:$H,"&lt;&gt;삭제",개발일정표!$J:$J,"&lt;&gt;미정")</f>
        <v>3</v>
      </c>
      <c r="AI9" s="58">
        <f>COUNTIFS(개발일정표!$A:$A,$A$8,개발일정표!$B:$B,$B9,개발일정표!$H:$H,"&lt;&gt;삭제",개발일정표!$J:$J,"=미정")</f>
        <v>2</v>
      </c>
    </row>
    <row r="10" spans="1:35" ht="14.25" customHeight="1">
      <c r="A10" s="158"/>
      <c r="B10" s="11" t="s">
        <v>197</v>
      </c>
      <c r="C10" s="12">
        <f>COUNTIFS(개발일정표!$A:$A,$A$8,개발일정표!$B:$B,$B10,개발일정표!$H:$H,"&lt;&gt;삭제")</f>
        <v>3</v>
      </c>
      <c r="D10" s="12">
        <f>COUNTIFS(개발일정표!$A:$A,$A$8,개발일정표!$B:$B,$B10,개발일정표!$H:$H,"&lt;&gt;삭제",개발일정표!$J:$J,"&lt;="&amp;$C$1)</f>
        <v>0</v>
      </c>
      <c r="E10" s="12">
        <f>COUNTIFS(개발일정표!$A:$A,$A$8,개발일정표!$B:$B,$B10,개발일정표!$H:$H,"&lt;&gt;삭제",개발일정표!$L:$L,"&lt;="&amp;$C$1)</f>
        <v>0</v>
      </c>
      <c r="F10" s="13">
        <f>D10-E10</f>
        <v>0</v>
      </c>
      <c r="G10" s="35">
        <f>COUNTIFS(개발일정표!$A:$A,$A$8,개발일정표!$B:$B,$B10,개발일정표!$H:$H,"&lt;&gt;삭제",개발일정표!$K:$K,"&lt;="&amp;$C$1,개발일정표!$L:$L,"")</f>
        <v>0</v>
      </c>
      <c r="H10" s="35">
        <f>COUNTIFS(개발일정표!$A:$A,$A$8,개발일정표!$B:$B,$B10,개발일정표!$H:$H,"&lt;&gt;삭제",개발일정표!$J:$J,"="&amp;$C$1)</f>
        <v>0</v>
      </c>
      <c r="I10" s="14">
        <f t="shared" si="13"/>
        <v>0</v>
      </c>
      <c r="J10" s="14">
        <f t="shared" si="14"/>
        <v>0</v>
      </c>
      <c r="K10" s="12">
        <f>COUNTIFS(개발일정표!$A:$A,$A$8,개발일정표!$B:$B,$B10,개발일정표!$H:$H,"&lt;&gt;삭제",개발일정표!$M:$M,"&lt;&gt;검수제외",개발일정표!$O:$O,"&lt;="&amp;$C$1)</f>
        <v>0</v>
      </c>
      <c r="L10" s="58">
        <f>COUNTIFS(개발일정표!$A:$A,$A$8,개발일정표!$B:$B,$B10,개발일정표!$H:$H,"&lt;&gt;삭제",개발일정표!$M:$M,"&lt;&gt;검수제외",개발일정표!$R:$R,"=L3",개발일정표!$Q:$Q,"&lt;="&amp;$C$1)+COUNTIFS(개발일정표!$A:$A,$A$8,개발일정표!$B:$B,$B10,개발일정표!$H:$H,"&lt;&gt;삭제",개발일정표!$M:$M,"&lt;&gt;검수제외",개발일정표!$R:$R,"=L1",개발일정표!$S:$S,"=Y",개발일정표!$Q:$Q,"&lt;="&amp;$C$1)+COUNTIFS(개발일정표!$A:$A,$A$8,개발일정표!$B:$B,$B10,개발일정표!$H:$H,"&lt;&gt;삭제",개발일정표!$M:$M,"&lt;&gt;검수제외",개발일정표!$R:$R,"=L2",개발일정표!$S:$S,"=Y",개발일정표!$Q:$Q,"&lt;="&amp;$C$1)</f>
        <v>0</v>
      </c>
      <c r="M10" s="58">
        <f>COUNTIFS(개발일정표!$A:$A,$A$8,개발일정표!$B:$B,$B10,개발일정표!$H:$H,"&lt;&gt;삭제",개발일정표!$M:$M,"&lt;&gt;검수제외",개발일정표!$R:$R,"=L2")-COUNTIFS(개발일정표!$A:$A,$A$8,개발일정표!$B:$B,$B10,개발일정표!$H:$H,"&lt;&gt;삭제",개발일정표!$M:$M,"&lt;&gt;검수제외",개발일정표!$R:$R,"=L2",개발일정표!$S:$S,"=Y",개발일정표!$Q:$Q,"&lt;="&amp;$C$1)</f>
        <v>0</v>
      </c>
      <c r="N10" s="13">
        <f>K10-(L10+M10)</f>
        <v>0</v>
      </c>
      <c r="O10" s="58">
        <f>COUNTIFS(개발일정표!$A:$A,$A$8,개발일정표!$B:$B,$B10,개발일정표!$H:$H,"&lt;&gt;삭제",개발일정표!$M:$M,"&lt;&gt;검수제외",개발일정표!$R:$R,"=L1")-COUNTIFS(개발일정표!$A:$A,$A$8,개발일정표!$B:$B,$B10,개발일정표!$H:$H,"&lt;&gt;삭제",개발일정표!$M:$M,"&lt;&gt;검수제외",개발일정표!$R:$R,"=L1",개발일정표!$S:$S,"=Y",개발일정표!$Q:$Q,"&lt;="&amp;$C$1)</f>
        <v>0</v>
      </c>
      <c r="P10" s="14">
        <f t="shared" si="15"/>
        <v>0</v>
      </c>
      <c r="Q10" s="14">
        <f t="shared" si="16"/>
        <v>0</v>
      </c>
      <c r="R10" s="12">
        <f>COUNTIFS(개발일정표!$A:$A,$A$8,개발일정표!$B:$B,$B10,개발일정표!$H:$H,"&lt;&gt;삭제",개발일정표!$T:$T,"&lt;&gt;검수제외")</f>
        <v>3</v>
      </c>
      <c r="S10" s="45">
        <f>COUNTIFS(개발일정표!$A:$A,$A$8,개발일정표!$B:$B,$B10,개발일정표!$H:$H,"&lt;&gt;삭제",개발일정표!$T:$T,"&lt;&gt;검수제외",개발일정표!$V:$V,"&lt;="&amp;$C$1)</f>
        <v>0</v>
      </c>
      <c r="T10" s="58">
        <f>COUNTIFS(개발일정표!$A:$A,$A$8,개발일정표!$B:$B,$B10,개발일정표!$H:$H,"&lt;&gt;삭제",개발일정표!$T:$T,"&lt;&gt;검수제외",개발일정표!$Y:$Y,"=L3",개발일정표!$X:$X,"&lt;="&amp;$C$1)+COUNTIFS(개발일정표!$A:$A,$A$8,개발일정표!$B:$B,$B10,개발일정표!$H:$H,"&lt;&gt;삭제",개발일정표!$T:$T,"&lt;&gt;검수제외",개발일정표!$Y:$Y,"=L1",개발일정표!$Z:$Z,"=Y",개발일정표!$X:$X,"&lt;="&amp;$C$1)+COUNTIFS(개발일정표!$A:$A,$A$8,개발일정표!$B:$B,$B10,개발일정표!$H:$H,"&lt;&gt;삭제",개발일정표!$T:$T,"&lt;&gt;검수제외",개발일정표!$Y:$Y,"=L2",개발일정표!$Z:$Z,"=Y",개발일정표!$X:$X,"&lt;="&amp;$C$1)</f>
        <v>0</v>
      </c>
      <c r="U10" s="58">
        <f>COUNTIFS(개발일정표!$A:$A,$A$8,개발일정표!$B:$B,$B10,개발일정표!$H:$H,"&lt;&gt;삭제",개발일정표!$T:$T,"&lt;&gt;검수제외",개발일정표!$Y:$Y,"=L2")-COUNTIFS(개발일정표!$A:$A,$A$8,개발일정표!$B:$B,$B10,개발일정표!$H:$H,"&lt;&gt;삭제",개발일정표!$T:$T,"&lt;&gt;검수제외",개발일정표!$Y:$Y,"=L2",개발일정표!$Z:$Z,"=Y",개발일정표!$X:$X,"&lt;="&amp;$C$1)</f>
        <v>0</v>
      </c>
      <c r="V10" s="59">
        <f>S10-(T10+U10)</f>
        <v>0</v>
      </c>
      <c r="W10" s="58">
        <f>COUNTIFS(개발일정표!$A:$A,$A$8,개발일정표!$B:$B,$B10,개발일정표!$H:$H,"&lt;&gt;삭제",개발일정표!$T:$T,"&lt;&gt;검수제외",개발일정표!$Y:$Y,"=L1")-COUNTIFS(개발일정표!$A:$A,$A$8,개발일정표!$B:$B,$B10,개발일정표!$H:$H,"&lt;&gt;삭제",개발일정표!$T:$T,"&lt;&gt;검수제외",개발일정표!$Y:$Y,"=L1",개발일정표!$Z:$Z,"=Y",개발일정표!$X:$X,"&lt;="&amp;$C$1)</f>
        <v>0</v>
      </c>
      <c r="X10" s="14">
        <f t="shared" si="18"/>
        <v>0</v>
      </c>
      <c r="Y10" s="14">
        <f t="shared" si="19"/>
        <v>0</v>
      </c>
      <c r="Z10" s="12">
        <f>COUNTIFS(개발일정표!$A:$A,$A$8,개발일정표!$B:$B,$B10,개발일정표!$H:$H,"&lt;&gt;삭제",개발일정표!$AA:$AA,"&lt;&gt;검수제외")</f>
        <v>3</v>
      </c>
      <c r="AA10" s="45">
        <f>COUNTIFS(개발일정표!$A:$A,$A$8,개발일정표!$B:$B,$B10,개발일정표!$H:$H,"&lt;&gt;삭제",개발일정표!$AA:$AA,"&lt;&gt;검수제외",개발일정표!$AC:$AC,"&lt;="&amp;$C$1)</f>
        <v>0</v>
      </c>
      <c r="AB10" s="58">
        <f>COUNTIFS(개발일정표!$A:$A,$A$8,개발일정표!$B:$B,$B10,개발일정표!$H:$H,"&lt;&gt;삭제",개발일정표!$AA:$AA,"&lt;&gt;검수제외",개발일정표!$AF:$AF,"=L3",개발일정표!$AE:$AE,"&lt;="&amp;$C$1)+COUNTIFS(개발일정표!$A:$A,$A$8,개발일정표!$B:$B,$B10,개발일정표!$H:$H,"&lt;&gt;삭제",개발일정표!$AA:$AA,"&lt;&gt;검수제외",개발일정표!$AF:$AF,"=L1",개발일정표!$AG:$AG,"=Y",개발일정표!$AE:$AE,"&lt;="&amp;$C$1)+COUNTIFS(개발일정표!$A:$A,$A$8,개발일정표!$B:$B,$B10,개발일정표!$H:$H,"&lt;&gt;삭제",개발일정표!$AA:$AA,"&lt;&gt;검수제외",개발일정표!$AF:$AF,"=L2",개발일정표!$AG:$AG,"=Y",개발일정표!$AE:$AE,"&lt;="&amp;$C$1)</f>
        <v>0</v>
      </c>
      <c r="AC10" s="58">
        <f>COUNTIFS(개발일정표!$A:$A,$A$8,개발일정표!$B:$B,$B10,개발일정표!$H:$H,"&lt;&gt;삭제",개발일정표!$AA:$AA,"&lt;&gt;검수제외",개발일정표!$AF:$AF,"=L2")-COUNTIFS(개발일정표!$A:$A,$A$8,개발일정표!$B:$B,$B10,개발일정표!$H:$H,"&lt;&gt;삭제",개발일정표!$AA:$AA,"&lt;&gt;검수제외",개발일정표!$AF:$AF,"=L2",개발일정표!$AG:$AG,"=Y",개발일정표!$AE:$AE,"&lt;="&amp;$C$1)</f>
        <v>0</v>
      </c>
      <c r="AD10" s="59">
        <f>AA10-(AB10+AC10)</f>
        <v>0</v>
      </c>
      <c r="AE10" s="58">
        <f>COUNTIFS(개발일정표!$A:$A,$A$8,개발일정표!$B:$B,$B10,개발일정표!$H:$H,"&lt;&gt;삭제",개발일정표!$AA:$AA,"&lt;&gt;검수제외",개발일정표!$AF:$AF,"=L1")-COUNTIFS(개발일정표!$A:$A,$A$8,개발일정표!$B:$B,$B10,개발일정표!$H:$H,"&lt;&gt;삭제",개발일정표!$AA:$AA,"&lt;&gt;검수제외",개발일정표!$AF:$AF,"=L1",개발일정표!$AG:$AG,"=Y",개발일정표!$AE:$AE,"&lt;="&amp;$C$1)</f>
        <v>0</v>
      </c>
      <c r="AF10" s="14">
        <f>IF(AA10=0, 0,(AB10+AC10)/AA10)</f>
        <v>0</v>
      </c>
      <c r="AG10" s="14">
        <f t="shared" si="21"/>
        <v>0</v>
      </c>
      <c r="AH10" s="58">
        <f>COUNTIFS(개발일정표!$A:$A,$A$8,개발일정표!$B:$B,$B10,개발일정표!$H:$H,"&lt;&gt;삭제",개발일정표!$J:$J,"&lt;&gt;미정")</f>
        <v>0</v>
      </c>
      <c r="AI10" s="58">
        <f>COUNTIFS(개발일정표!$A:$A,$A$8,개발일정표!$B:$B,$B10,개발일정표!$H:$H,"&lt;&gt;삭제",개발일정표!$J:$J,"=미정")</f>
        <v>3</v>
      </c>
    </row>
    <row r="11" spans="1:35" ht="14.25" customHeight="1">
      <c r="A11" s="158"/>
      <c r="B11" s="11" t="s">
        <v>198</v>
      </c>
      <c r="C11" s="12">
        <f>COUNTIFS(개발일정표!$A:$A,$A$8,개발일정표!$B:$B,$B11,개발일정표!$H:$H,"&lt;&gt;삭제")</f>
        <v>2</v>
      </c>
      <c r="D11" s="12">
        <f>COUNTIFS(개발일정표!$A:$A,$A$8,개발일정표!$B:$B,$B11,개발일정표!$H:$H,"&lt;&gt;삭제",개발일정표!$J:$J,"&lt;="&amp;$C$1)</f>
        <v>0</v>
      </c>
      <c r="E11" s="12">
        <f>COUNTIFS(개발일정표!$A:$A,$A$8,개발일정표!$B:$B,$B11,개발일정표!$H:$H,"&lt;&gt;삭제",개발일정표!$L:$L,"&lt;="&amp;$C$1)</f>
        <v>0</v>
      </c>
      <c r="F11" s="13">
        <f>D11-E11</f>
        <v>0</v>
      </c>
      <c r="G11" s="35">
        <f>COUNTIFS(개발일정표!$A:$A,$A$8,개발일정표!$B:$B,$B11,개발일정표!$H:$H,"&lt;&gt;삭제",개발일정표!$K:$K,"&lt;="&amp;$C$1,개발일정표!$L:$L,"")</f>
        <v>0</v>
      </c>
      <c r="H11" s="35">
        <f>COUNTIFS(개발일정표!$A:$A,$A$8,개발일정표!$B:$B,$B11,개발일정표!$H:$H,"&lt;&gt;삭제",개발일정표!$J:$J,"="&amp;$C$1)</f>
        <v>0</v>
      </c>
      <c r="I11" s="14">
        <f t="shared" si="13"/>
        <v>0</v>
      </c>
      <c r="J11" s="14">
        <f t="shared" si="14"/>
        <v>0</v>
      </c>
      <c r="K11" s="12">
        <f>COUNTIFS(개발일정표!$A:$A,$A$8,개발일정표!$B:$B,$B11,개발일정표!$H:$H,"&lt;&gt;삭제",개발일정표!$M:$M,"&lt;&gt;검수제외",개발일정표!$O:$O,"&lt;="&amp;$C$1)</f>
        <v>0</v>
      </c>
      <c r="L11" s="58">
        <f>COUNTIFS(개발일정표!$A:$A,$A$8,개발일정표!$B:$B,$B11,개발일정표!$H:$H,"&lt;&gt;삭제",개발일정표!$M:$M,"&lt;&gt;검수제외",개발일정표!$R:$R,"=L3",개발일정표!$Q:$Q,"&lt;="&amp;$C$1)+COUNTIFS(개발일정표!$A:$A,$A$8,개발일정표!$B:$B,$B11,개발일정표!$H:$H,"&lt;&gt;삭제",개발일정표!$M:$M,"&lt;&gt;검수제외",개발일정표!$R:$R,"=L1",개발일정표!$S:$S,"=Y",개발일정표!$Q:$Q,"&lt;="&amp;$C$1)+COUNTIFS(개발일정표!$A:$A,$A$8,개발일정표!$B:$B,$B11,개발일정표!$H:$H,"&lt;&gt;삭제",개발일정표!$M:$M,"&lt;&gt;검수제외",개발일정표!$R:$R,"=L2",개발일정표!$S:$S,"=Y",개발일정표!$Q:$Q,"&lt;="&amp;$C$1)</f>
        <v>0</v>
      </c>
      <c r="M11" s="58">
        <f>COUNTIFS(개발일정표!$A:$A,$A$8,개발일정표!$B:$B,$B11,개발일정표!$H:$H,"&lt;&gt;삭제",개발일정표!$M:$M,"&lt;&gt;검수제외",개발일정표!$R:$R,"=L2")-COUNTIFS(개발일정표!$A:$A,$A$8,개발일정표!$B:$B,$B11,개발일정표!$H:$H,"&lt;&gt;삭제",개발일정표!$M:$M,"&lt;&gt;검수제외",개발일정표!$R:$R,"=L2",개발일정표!$S:$S,"=Y",개발일정표!$Q:$Q,"&lt;="&amp;$C$1)</f>
        <v>0</v>
      </c>
      <c r="N11" s="13">
        <f>K11-(L11+M11)</f>
        <v>0</v>
      </c>
      <c r="O11" s="58">
        <f>COUNTIFS(개발일정표!$A:$A,$A$8,개발일정표!$B:$B,$B11,개발일정표!$H:$H,"&lt;&gt;삭제",개발일정표!$M:$M,"&lt;&gt;검수제외",개발일정표!$R:$R,"=L1")-COUNTIFS(개발일정표!$A:$A,$A$8,개발일정표!$B:$B,$B11,개발일정표!$H:$H,"&lt;&gt;삭제",개발일정표!$M:$M,"&lt;&gt;검수제외",개발일정표!$R:$R,"=L1",개발일정표!$S:$S,"=Y",개발일정표!$Q:$Q,"&lt;="&amp;$C$1)</f>
        <v>0</v>
      </c>
      <c r="P11" s="14">
        <f t="shared" si="15"/>
        <v>0</v>
      </c>
      <c r="Q11" s="14">
        <f t="shared" si="16"/>
        <v>0</v>
      </c>
      <c r="R11" s="12">
        <f>COUNTIFS(개발일정표!$A:$A,$A$8,개발일정표!$B:$B,$B11,개발일정표!$H:$H,"&lt;&gt;삭제",개발일정표!$T:$T,"&lt;&gt;검수제외")</f>
        <v>2</v>
      </c>
      <c r="S11" s="45">
        <f>COUNTIFS(개발일정표!$A:$A,$A$8,개발일정표!$B:$B,$B11,개발일정표!$H:$H,"&lt;&gt;삭제",개발일정표!$T:$T,"&lt;&gt;검수제외",개발일정표!$V:$V,"&lt;="&amp;$C$1)</f>
        <v>0</v>
      </c>
      <c r="T11" s="58">
        <f>COUNTIFS(개발일정표!$A:$A,$A$8,개발일정표!$B:$B,$B11,개발일정표!$H:$H,"&lt;&gt;삭제",개발일정표!$T:$T,"&lt;&gt;검수제외",개발일정표!$Y:$Y,"=L3",개발일정표!$X:$X,"&lt;="&amp;$C$1)+COUNTIFS(개발일정표!$A:$A,$A$8,개발일정표!$B:$B,$B11,개발일정표!$H:$H,"&lt;&gt;삭제",개발일정표!$T:$T,"&lt;&gt;검수제외",개발일정표!$Y:$Y,"=L1",개발일정표!$Z:$Z,"=Y",개발일정표!$X:$X,"&lt;="&amp;$C$1)+COUNTIFS(개발일정표!$A:$A,$A$8,개발일정표!$B:$B,$B11,개발일정표!$H:$H,"&lt;&gt;삭제",개발일정표!$T:$T,"&lt;&gt;검수제외",개발일정표!$Y:$Y,"=L2",개발일정표!$Z:$Z,"=Y",개발일정표!$X:$X,"&lt;="&amp;$C$1)</f>
        <v>0</v>
      </c>
      <c r="U11" s="58">
        <f>COUNTIFS(개발일정표!$A:$A,$A$8,개발일정표!$B:$B,$B11,개발일정표!$H:$H,"&lt;&gt;삭제",개발일정표!$T:$T,"&lt;&gt;검수제외",개발일정표!$Y:$Y,"=L2")-COUNTIFS(개발일정표!$A:$A,$A$8,개발일정표!$B:$B,$B11,개발일정표!$H:$H,"&lt;&gt;삭제",개발일정표!$T:$T,"&lt;&gt;검수제외",개발일정표!$Y:$Y,"=L2",개발일정표!$Z:$Z,"=Y",개발일정표!$X:$X,"&lt;="&amp;$C$1)</f>
        <v>0</v>
      </c>
      <c r="V11" s="59">
        <f>S11-(T11+U11)</f>
        <v>0</v>
      </c>
      <c r="W11" s="58">
        <f>COUNTIFS(개발일정표!$A:$A,$A$8,개발일정표!$B:$B,$B11,개발일정표!$H:$H,"&lt;&gt;삭제",개발일정표!$T:$T,"&lt;&gt;검수제외",개발일정표!$Y:$Y,"=L1")-COUNTIFS(개발일정표!$A:$A,$A$8,개발일정표!$B:$B,$B11,개발일정표!$H:$H,"&lt;&gt;삭제",개발일정표!$T:$T,"&lt;&gt;검수제외",개발일정표!$Y:$Y,"=L1",개발일정표!$Z:$Z,"=Y",개발일정표!$X:$X,"&lt;="&amp;$C$1)</f>
        <v>0</v>
      </c>
      <c r="X11" s="14">
        <f t="shared" si="18"/>
        <v>0</v>
      </c>
      <c r="Y11" s="14">
        <f t="shared" si="19"/>
        <v>0</v>
      </c>
      <c r="Z11" s="12">
        <f>COUNTIFS(개발일정표!$A:$A,$A$8,개발일정표!$B:$B,$B11,개발일정표!$H:$H,"&lt;&gt;삭제",개발일정표!$AA:$AA,"&lt;&gt;검수제외")</f>
        <v>2</v>
      </c>
      <c r="AA11" s="45">
        <f>COUNTIFS(개발일정표!$A:$A,$A$8,개발일정표!$B:$B,$B11,개발일정표!$H:$H,"&lt;&gt;삭제",개발일정표!$AA:$AA,"&lt;&gt;검수제외",개발일정표!$AC:$AC,"&lt;="&amp;$C$1)</f>
        <v>0</v>
      </c>
      <c r="AB11" s="58">
        <f>COUNTIFS(개발일정표!$A:$A,$A$8,개발일정표!$B:$B,$B11,개발일정표!$H:$H,"&lt;&gt;삭제",개발일정표!$AA:$AA,"&lt;&gt;검수제외",개발일정표!$AF:$AF,"=L3",개발일정표!$AE:$AE,"&lt;="&amp;$C$1)+COUNTIFS(개발일정표!$A:$A,$A$8,개발일정표!$B:$B,$B11,개발일정표!$H:$H,"&lt;&gt;삭제",개발일정표!$AA:$AA,"&lt;&gt;검수제외",개발일정표!$AF:$AF,"=L1",개발일정표!$AG:$AG,"=Y",개발일정표!$AE:$AE,"&lt;="&amp;$C$1)+COUNTIFS(개발일정표!$A:$A,$A$8,개발일정표!$B:$B,$B11,개발일정표!$H:$H,"&lt;&gt;삭제",개발일정표!$AA:$AA,"&lt;&gt;검수제외",개발일정표!$AF:$AF,"=L2",개발일정표!$AG:$AG,"=Y",개발일정표!$AE:$AE,"&lt;="&amp;$C$1)</f>
        <v>0</v>
      </c>
      <c r="AC11" s="58">
        <f>COUNTIFS(개발일정표!$A:$A,$A$8,개발일정표!$B:$B,$B11,개발일정표!$H:$H,"&lt;&gt;삭제",개발일정표!$AA:$AA,"&lt;&gt;검수제외",개발일정표!$AF:$AF,"=L2")-COUNTIFS(개발일정표!$A:$A,$A$8,개발일정표!$B:$B,$B11,개발일정표!$H:$H,"&lt;&gt;삭제",개발일정표!$AA:$AA,"&lt;&gt;검수제외",개발일정표!$AF:$AF,"=L2",개발일정표!$AG:$AG,"=Y",개발일정표!$AE:$AE,"&lt;="&amp;$C$1)</f>
        <v>0</v>
      </c>
      <c r="AD11" s="59">
        <f>AA11-(AB11+AC11)</f>
        <v>0</v>
      </c>
      <c r="AE11" s="58">
        <f>COUNTIFS(개발일정표!$A:$A,$A$8,개발일정표!$B:$B,$B11,개발일정표!$H:$H,"&lt;&gt;삭제",개발일정표!$AA:$AA,"&lt;&gt;검수제외",개발일정표!$AF:$AF,"=L1")-COUNTIFS(개발일정표!$A:$A,$A$8,개발일정표!$B:$B,$B11,개발일정표!$H:$H,"&lt;&gt;삭제",개발일정표!$AA:$AA,"&lt;&gt;검수제외",개발일정표!$AF:$AF,"=L1",개발일정표!$AG:$AG,"=Y",개발일정표!$AE:$AE,"&lt;="&amp;$C$1)</f>
        <v>0</v>
      </c>
      <c r="AF11" s="14">
        <f>IF(AA11=0, 0,(AB11+AC11)/AA11)</f>
        <v>0</v>
      </c>
      <c r="AG11" s="14">
        <f t="shared" si="21"/>
        <v>0</v>
      </c>
      <c r="AH11" s="58">
        <f>COUNTIFS(개발일정표!$A:$A,$A$8,개발일정표!$B:$B,$B11,개발일정표!$H:$H,"&lt;&gt;삭제",개발일정표!$J:$J,"&lt;&gt;미정")</f>
        <v>2</v>
      </c>
      <c r="AI11" s="58">
        <f>COUNTIFS(개발일정표!$A:$A,$A$8,개발일정표!$B:$B,$B11,개발일정표!$H:$H,"&lt;&gt;삭제",개발일정표!$J:$J,"=미정")</f>
        <v>0</v>
      </c>
    </row>
    <row r="12" spans="1:35" ht="14.25" customHeight="1">
      <c r="A12" s="158"/>
      <c r="B12" s="15" t="s">
        <v>57</v>
      </c>
      <c r="C12" s="16">
        <f t="shared" ref="C12:H12" si="23">SUM(C8:C11)</f>
        <v>16</v>
      </c>
      <c r="D12" s="16">
        <f t="shared" si="23"/>
        <v>0</v>
      </c>
      <c r="E12" s="16">
        <f t="shared" si="23"/>
        <v>0</v>
      </c>
      <c r="F12" s="16">
        <f t="shared" si="23"/>
        <v>0</v>
      </c>
      <c r="G12" s="36">
        <f t="shared" si="23"/>
        <v>0</v>
      </c>
      <c r="H12" s="36">
        <f t="shared" si="23"/>
        <v>0</v>
      </c>
      <c r="I12" s="21">
        <f t="shared" si="13"/>
        <v>0</v>
      </c>
      <c r="J12" s="21">
        <f t="shared" si="14"/>
        <v>0</v>
      </c>
      <c r="K12" s="20">
        <f>SUM(K8:K11)</f>
        <v>0</v>
      </c>
      <c r="L12" s="20">
        <f>SUM(L8:L11)</f>
        <v>0</v>
      </c>
      <c r="M12" s="20">
        <f>SUM(M8:M11)</f>
        <v>0</v>
      </c>
      <c r="N12" s="20">
        <f>SUM(N8:N11)</f>
        <v>0</v>
      </c>
      <c r="O12" s="20">
        <f>SUM(O8:O11)</f>
        <v>0</v>
      </c>
      <c r="P12" s="21">
        <f t="shared" si="15"/>
        <v>0</v>
      </c>
      <c r="Q12" s="21">
        <f t="shared" si="16"/>
        <v>0</v>
      </c>
      <c r="R12" s="20">
        <f t="shared" ref="R12:W12" si="24">SUM(R8:R11)</f>
        <v>16</v>
      </c>
      <c r="S12" s="20">
        <f t="shared" si="24"/>
        <v>0</v>
      </c>
      <c r="T12" s="20">
        <f t="shared" si="24"/>
        <v>0</v>
      </c>
      <c r="U12" s="20">
        <f t="shared" si="24"/>
        <v>0</v>
      </c>
      <c r="V12" s="20">
        <f t="shared" si="24"/>
        <v>0</v>
      </c>
      <c r="W12" s="20">
        <f t="shared" si="24"/>
        <v>0</v>
      </c>
      <c r="X12" s="21">
        <f t="shared" si="18"/>
        <v>0</v>
      </c>
      <c r="Y12" s="21">
        <f t="shared" si="19"/>
        <v>0</v>
      </c>
      <c r="Z12" s="20">
        <f t="shared" ref="Z12:AE12" si="25">SUM(Z8:Z11)</f>
        <v>16</v>
      </c>
      <c r="AA12" s="20">
        <f t="shared" si="25"/>
        <v>0</v>
      </c>
      <c r="AB12" s="20">
        <f t="shared" si="25"/>
        <v>0</v>
      </c>
      <c r="AC12" s="20">
        <f t="shared" si="25"/>
        <v>0</v>
      </c>
      <c r="AD12" s="20">
        <f t="shared" si="25"/>
        <v>0</v>
      </c>
      <c r="AE12" s="20">
        <f t="shared" si="25"/>
        <v>0</v>
      </c>
      <c r="AF12" s="21">
        <f>IF(AA12=0,0,(AB12+AC12)/AA12)</f>
        <v>0</v>
      </c>
      <c r="AG12" s="21">
        <f t="shared" si="21"/>
        <v>0</v>
      </c>
      <c r="AH12" s="61">
        <f t="shared" ref="AH12:AI12" si="26">SUM(AH8:AH11)</f>
        <v>9</v>
      </c>
      <c r="AI12" s="61">
        <f t="shared" si="26"/>
        <v>7</v>
      </c>
    </row>
    <row r="13" spans="1:35" ht="14.25" customHeight="1">
      <c r="A13" s="158" t="s">
        <v>199</v>
      </c>
      <c r="B13" s="11" t="s">
        <v>425</v>
      </c>
      <c r="C13" s="12">
        <f>COUNTIFS(개발일정표!$A:$A,$A$13,개발일정표!$B:$B,$B13,개발일정표!$H:$H,"&lt;&gt;삭제")</f>
        <v>14</v>
      </c>
      <c r="D13" s="12">
        <f>COUNTIFS(개발일정표!$A:$A,$A$13,개발일정표!$B:$B,$B13,개발일정표!$H:$H,"&lt;&gt;삭제",개발일정표!$J:$J,"&lt;="&amp;$C$1)</f>
        <v>0</v>
      </c>
      <c r="E13" s="12">
        <f>COUNTIFS(개발일정표!$A:$A,$A$13,개발일정표!$B:$B,$B13,개발일정표!$H:$H,"&lt;&gt;삭제",개발일정표!$L:$L,"&lt;="&amp;$C$1)</f>
        <v>0</v>
      </c>
      <c r="F13" s="13">
        <f t="shared" ref="F13:F15" si="27">D13-E13</f>
        <v>0</v>
      </c>
      <c r="G13" s="35">
        <f>COUNTIFS(개발일정표!$A:$A,$A$13,개발일정표!$B:$B,$B13,개발일정표!$H:$H,"&lt;&gt;삭제",개발일정표!$K:$K,"&lt;="&amp;$C$1,개발일정표!$L:$L,"")</f>
        <v>0</v>
      </c>
      <c r="H13" s="35">
        <f>COUNTIFS(개발일정표!$A:$A,$A$13,개발일정표!$B:$B,$B13,개발일정표!$H:$H,"&lt;&gt;삭제",개발일정표!$J:$J,"="&amp;$C$1)</f>
        <v>0</v>
      </c>
      <c r="I13" s="14">
        <f>IF(D13=0,0,E13/D13)</f>
        <v>0</v>
      </c>
      <c r="J13" s="14">
        <f>IF(C13=0,0,E13/C13)</f>
        <v>0</v>
      </c>
      <c r="K13" s="12">
        <f>COUNTIFS(개발일정표!$A:$A,$A$13,개발일정표!$B:$B,$B13,개발일정표!$H:$H,"&lt;&gt;삭제",개발일정표!$M:$M,"&lt;&gt;검수제외",개발일정표!$O:$O,"&lt;="&amp;$C$1)</f>
        <v>0</v>
      </c>
      <c r="L13" s="12">
        <f>COUNTIFS(개발일정표!$A:$A,$A$13,개발일정표!$B:$B,$B13,개발일정표!$H:$H,"&lt;&gt;삭제",개발일정표!$M:$M,"&lt;&gt;검수제외",개발일정표!$R:$R,"=L3",개발일정표!$Q:$Q,"&lt;="&amp;$C$1)+COUNTIFS(개발일정표!$A:$A,$A$13,개발일정표!$B:$B,$B13,개발일정표!$H:$H,"&lt;&gt;삭제",개발일정표!$M:$M,"&lt;&gt;검수제외",개발일정표!$R:$R,"=L1",개발일정표!$S:$S,"=Y",개발일정표!$Q:$Q,"&lt;="&amp;$C$1)+COUNTIFS(개발일정표!$A:$A,$A$13,개발일정표!$B:$B,$B13,개발일정표!$H:$H,"&lt;&gt;삭제",개발일정표!$M:$M,"&lt;&gt;검수제외",개발일정표!$R:$R,"=L2",개발일정표!$S:$S,"=Y",개발일정표!$Q:$Q,"&lt;="&amp;$C$1)</f>
        <v>0</v>
      </c>
      <c r="M13" s="12">
        <f>COUNTIFS(개발일정표!$A:$A,$A$13,개발일정표!$B:$B,$B13,개발일정표!$H:$H,"&lt;&gt;삭제",개발일정표!$M:$M,"&lt;&gt;검수제외",개발일정표!$R:$R,"=L2")-COUNTIFS(개발일정표!$A:$A,$A$13,개발일정표!$B:$B,$B13,개발일정표!$H:$H,"&lt;&gt;삭제",개발일정표!$M:$M,"&lt;&gt;검수제외",개발일정표!$R:$R,"=L2",개발일정표!$S:$S,"=Y",개발일정표!$Q:$Q,"&lt;="&amp;$C$1)</f>
        <v>0</v>
      </c>
      <c r="N13" s="13">
        <f>K13-(L13+M13)</f>
        <v>0</v>
      </c>
      <c r="O13" s="12">
        <f>COUNTIFS(개발일정표!$A:$A,$A$13,개발일정표!$B:$B,$B13,개발일정표!$H:$H,"&lt;&gt;삭제",개발일정표!$M:$M,"&lt;&gt;검수제외",개발일정표!$R:$R,"=L1")-COUNTIFS(개발일정표!$A:$A,$A$13,개발일정표!$B:$B,$B13,개발일정표!$H:$H,"&lt;&gt;삭제",개발일정표!$M:$M,"&lt;&gt;검수제외",개발일정표!$R:$R,"=L1",개발일정표!$S:$S,"=Y",개발일정표!$Q:$Q,"&lt;="&amp;$C$1)</f>
        <v>0</v>
      </c>
      <c r="P13" s="14">
        <f>IF(K13=0, 0,(L13+M13)/K13)</f>
        <v>0</v>
      </c>
      <c r="Q13" s="14">
        <f>IF(C13=0,0,(L13+M13)/C13)</f>
        <v>0</v>
      </c>
      <c r="R13" s="12">
        <f>COUNTIFS(개발일정표!$A:$A,$A$13,개발일정표!$B:$B,$B13,개발일정표!$H:$H,"&lt;&gt;삭제",개발일정표!$T:$T,"&lt;&gt;검수제외")</f>
        <v>14</v>
      </c>
      <c r="S13" s="12">
        <f>COUNTIFS(개발일정표!$A:$A,$A$13,개발일정표!$B:$B,$B13,개발일정표!$H:$H,"&lt;&gt;삭제",개발일정표!$T:$T,"&lt;&gt;검수제외",개발일정표!$V:$V,"&lt;="&amp;$C$1)</f>
        <v>0</v>
      </c>
      <c r="T13" s="12">
        <f>COUNTIFS(개발일정표!$A:$A,$A$13,개발일정표!$B:$B,$B13,개발일정표!$H:$H,"&lt;&gt;삭제",개발일정표!$T:$T,"&lt;&gt;검수제외",개발일정표!$Y:$Y,"=L3",개발일정표!$X:$X,"&lt;="&amp;$C$1)+COUNTIFS(개발일정표!$A:$A,$A$13,개발일정표!$B:$B,$B13,개발일정표!$H:$H,"&lt;&gt;삭제",개발일정표!$T:$T,"&lt;&gt;검수제외",개발일정표!$Y:$Y,"=L1",개발일정표!$Z:$Z,"=Y",개발일정표!$X:$X,"&lt;="&amp;$C$1)+COUNTIFS(개발일정표!$A:$A,$A$13,개발일정표!$B:$B,$B13,개발일정표!$H:$H,"&lt;&gt;삭제",개발일정표!$T:$T,"&lt;&gt;검수제외",개발일정표!$Y:$Y,"=L2",개발일정표!$Z:$Z,"=Y",개발일정표!$X:$X,"&lt;="&amp;$C$1)</f>
        <v>0</v>
      </c>
      <c r="U13" s="12">
        <f>COUNTIFS(개발일정표!$A:$A,$A$13,개발일정표!$B:$B,$B13,개발일정표!$H:$H,"&lt;&gt;삭제",개발일정표!$T:$T,"&lt;&gt;검수제외",개발일정표!$Y:$Y,"=L2")-COUNTIFS(개발일정표!$A:$A,$A$13,개발일정표!$B:$B,$B13,개발일정표!$H:$H,"&lt;&gt;삭제",개발일정표!$T:$T,"&lt;&gt;검수제외",개발일정표!$Y:$Y,"=L2",개발일정표!$Z:$Z,"=Y",개발일정표!$X:$X,"&lt;="&amp;$C$1)</f>
        <v>0</v>
      </c>
      <c r="V13" s="13">
        <f>S13-(T13+U13)</f>
        <v>0</v>
      </c>
      <c r="W13" s="12">
        <f>COUNTIFS(개발일정표!$A:$A,$A$13,개발일정표!$B:$B,$B13,개발일정표!$H:$H,"&lt;&gt;삭제",개발일정표!$T:$T,"&lt;&gt;검수제외",개발일정표!$Y:$Y,"=L1")-COUNTIFS(개발일정표!$A:$A,$A$13,개발일정표!$B:$B,$B13,개발일정표!$H:$H,"&lt;&gt;삭제",개발일정표!$T:$T,"&lt;&gt;검수제외",개발일정표!$Y:$Y,"=L1",개발일정표!$Z:$Z,"=Y",개발일정표!$X:$X,"&lt;="&amp;$C$1)</f>
        <v>0</v>
      </c>
      <c r="X13" s="14">
        <f>IF(S13=0, 0,(T13+U13)/S13)</f>
        <v>0</v>
      </c>
      <c r="Y13" s="14">
        <f>IF(R13=0,0,(T13+U13)/R13)</f>
        <v>0</v>
      </c>
      <c r="Z13" s="12">
        <f>COUNTIFS(개발일정표!$A:$A,$A$13,개발일정표!$B:$B,$B13,개발일정표!$H:$H,"&lt;&gt;삭제",개발일정표!$AA:$AA,"&lt;&gt;검수제외")</f>
        <v>14</v>
      </c>
      <c r="AA13" s="12">
        <f>COUNTIFS(개발일정표!$A:$A,$A$13,개발일정표!$B:$B,$B13,개발일정표!$H:$H,"&lt;&gt;삭제",개발일정표!$AA:$AA,"&lt;&gt;검수제외",개발일정표!$AC:$AC,"&lt;="&amp;$C$1)</f>
        <v>0</v>
      </c>
      <c r="AB13" s="12">
        <f>COUNTIFS(개발일정표!$A:$A,$A$13,개발일정표!$B:$B,$B13,개발일정표!$H:$H,"&lt;&gt;삭제",개발일정표!$AA:$AA,"&lt;&gt;검수제외",개발일정표!$AF:$AF,"=L3",개발일정표!$AE:$AE,"&lt;="&amp;$C$1)+COUNTIFS(개발일정표!$A:$A,$A$13,개발일정표!$B:$B,$B13,개발일정표!$H:$H,"&lt;&gt;삭제",개발일정표!$AA:$AA,"&lt;&gt;검수제외",개발일정표!$AF:$AF,"=L1",개발일정표!$AG:$AG,"=Y",개발일정표!$AE:$AE,"&lt;="&amp;$C$1)+COUNTIFS(개발일정표!$A:$A,$A$13,개발일정표!$B:$B,$B13,개발일정표!$H:$H,"&lt;&gt;삭제",개발일정표!$AA:$AA,"&lt;&gt;검수제외",개발일정표!$AF:$AF,"=L2",개발일정표!$AG:$AG,"=Y",개발일정표!$AE:$AE,"&lt;="&amp;$C$1)</f>
        <v>0</v>
      </c>
      <c r="AC13" s="12">
        <f>COUNTIFS(개발일정표!$A:$A,$A$13,개발일정표!$B:$B,$B13,개발일정표!$H:$H,"&lt;&gt;삭제",개발일정표!$AA:$AA,"&lt;&gt;검수제외",개발일정표!$AF:$AF,"=L2")-COUNTIFS(개발일정표!$A:$A,$A$13,개발일정표!$B:$B,$B13,개발일정표!$H:$H,"&lt;&gt;삭제",개발일정표!$AA:$AA,"&lt;&gt;검수제외",개발일정표!$AF:$AF,"=L2",개발일정표!$AG:$AG,"=Y",개발일정표!$AE:$AE,"&lt;="&amp;$C$1)</f>
        <v>0</v>
      </c>
      <c r="AD13" s="59">
        <f>AA13-(AB13+AC13)</f>
        <v>0</v>
      </c>
      <c r="AE13" s="12">
        <f>COUNTIFS(개발일정표!$A:$A,$A$13,개발일정표!$B:$B,$B13,개발일정표!$H:$H,"&lt;&gt;삭제",개발일정표!$AA:$AA,"&lt;&gt;검수제외",개발일정표!$AF:$AF,"=L1")-COUNTIFS(개발일정표!$A:$A,$A$13,개발일정표!$B:$B,$B13,개발일정표!$H:$H,"&lt;&gt;삭제",개발일정표!$AA:$AA,"&lt;&gt;검수제외",개발일정표!$AF:$AF,"=L1",개발일정표!$AG:$AG,"=Y",개발일정표!$AE:$AE,"&lt;="&amp;$C$1)</f>
        <v>0</v>
      </c>
      <c r="AF13" s="14">
        <f>IF(AA13=0, 0,(AB13+AC13)/AA13)</f>
        <v>0</v>
      </c>
      <c r="AG13" s="14">
        <f>IF(Z13=0,0,(AB13+AC13)/Z13)</f>
        <v>0</v>
      </c>
      <c r="AH13" s="58">
        <f>COUNTIFS(개발일정표!$A:$A,$A$13,개발일정표!$B:$B,$B13,개발일정표!$H:$H,"&lt;&gt;삭제",개발일정표!$J:$J,"&lt;&gt;미정")</f>
        <v>9</v>
      </c>
      <c r="AI13" s="58">
        <f>COUNTIFS(개발일정표!$A:$A,$A$13,개발일정표!$B:$B,$B13,개발일정표!$H:$H,"&lt;&gt;삭제",개발일정표!$J:$J,"=미정")</f>
        <v>5</v>
      </c>
    </row>
    <row r="14" spans="1:35" ht="14.25" customHeight="1">
      <c r="A14" s="158"/>
      <c r="B14" s="11" t="s">
        <v>426</v>
      </c>
      <c r="C14" s="12">
        <f>COUNTIFS(개발일정표!$A:$A,$A$13,개발일정표!$B:$B,$B14,개발일정표!$H:$H,"&lt;&gt;삭제")</f>
        <v>6</v>
      </c>
      <c r="D14" s="12">
        <f>COUNTIFS(개발일정표!$A:$A,$A$13,개발일정표!$B:$B,$B14,개발일정표!$H:$H,"&lt;&gt;삭제",개발일정표!$J:$J,"&lt;="&amp;$C$1)</f>
        <v>0</v>
      </c>
      <c r="E14" s="12">
        <f>COUNTIFS(개발일정표!$A:$A,$A$13,개발일정표!$B:$B,$B14,개발일정표!$H:$H,"&lt;&gt;삭제",개발일정표!$L:$L,"&lt;="&amp;$C$1)</f>
        <v>0</v>
      </c>
      <c r="F14" s="13">
        <f t="shared" si="27"/>
        <v>0</v>
      </c>
      <c r="G14" s="35">
        <f>COUNTIFS(개발일정표!$A:$A,$A$13,개발일정표!$B:$B,$B14,개발일정표!$H:$H,"&lt;&gt;삭제",개발일정표!$K:$K,"&lt;="&amp;$C$1,개발일정표!$L:$L,"")</f>
        <v>0</v>
      </c>
      <c r="H14" s="35">
        <f>COUNTIFS(개발일정표!$A:$A,$A$13,개발일정표!$B:$B,$B14,개발일정표!$H:$H,"&lt;&gt;삭제",개발일정표!$J:$J,"="&amp;$C$1)</f>
        <v>0</v>
      </c>
      <c r="I14" s="14">
        <f t="shared" ref="I14:I16" si="28">IF(D14=0,0,E14/D14)</f>
        <v>0</v>
      </c>
      <c r="J14" s="14">
        <f t="shared" ref="J14:J16" si="29">IF(C14=0,0,E14/C14)</f>
        <v>0</v>
      </c>
      <c r="K14" s="12">
        <f>COUNTIFS(개발일정표!$A:$A,$A$13,개발일정표!$B:$B,$B14,개발일정표!$H:$H,"&lt;&gt;삭제",개발일정표!$M:$M,"&lt;&gt;검수제외",개발일정표!$O:$O,"&lt;="&amp;$C$1)</f>
        <v>0</v>
      </c>
      <c r="L14" s="58">
        <f>COUNTIFS(개발일정표!$A:$A,$A$13,개발일정표!$B:$B,$B14,개발일정표!$H:$H,"&lt;&gt;삭제",개발일정표!$M:$M,"&lt;&gt;검수제외",개발일정표!$R:$R,"=L3",개발일정표!$Q:$Q,"&lt;="&amp;$C$1)+COUNTIFS(개발일정표!$A:$A,$A$13,개발일정표!$B:$B,$B14,개발일정표!$H:$H,"&lt;&gt;삭제",개발일정표!$M:$M,"&lt;&gt;검수제외",개발일정표!$R:$R,"=L1",개발일정표!$S:$S,"=Y",개발일정표!$Q:$Q,"&lt;="&amp;$C$1)+COUNTIFS(개발일정표!$A:$A,$A$13,개발일정표!$B:$B,$B14,개발일정표!$H:$H,"&lt;&gt;삭제",개발일정표!$M:$M,"&lt;&gt;검수제외",개발일정표!$R:$R,"=L2",개발일정표!$S:$S,"=Y",개발일정표!$Q:$Q,"&lt;="&amp;$C$1)</f>
        <v>0</v>
      </c>
      <c r="M14" s="58">
        <f>COUNTIFS(개발일정표!$A:$A,$A$13,개발일정표!$B:$B,$B14,개발일정표!$H:$H,"&lt;&gt;삭제",개발일정표!$M:$M,"&lt;&gt;검수제외",개발일정표!$R:$R,"=L2")-COUNTIFS(개발일정표!$A:$A,$A$13,개발일정표!$B:$B,$B14,개발일정표!$H:$H,"&lt;&gt;삭제",개발일정표!$M:$M,"&lt;&gt;검수제외",개발일정표!$R:$R,"=L2",개발일정표!$S:$S,"=Y",개발일정표!$Q:$Q,"&lt;="&amp;$C$1)</f>
        <v>0</v>
      </c>
      <c r="N14" s="13">
        <f t="shared" ref="N14:N15" si="30">K14-(L14+M14)</f>
        <v>0</v>
      </c>
      <c r="O14" s="58">
        <f>COUNTIFS(개발일정표!$A:$A,$A$13,개발일정표!$B:$B,$B14,개발일정표!$H:$H,"&lt;&gt;삭제",개발일정표!$M:$M,"&lt;&gt;검수제외",개발일정표!$R:$R,"=L1")-COUNTIFS(개발일정표!$A:$A,$A$13,개발일정표!$B:$B,$B14,개발일정표!$H:$H,"&lt;&gt;삭제",개발일정표!$M:$M,"&lt;&gt;검수제외",개발일정표!$R:$R,"=L1",개발일정표!$S:$S,"=Y",개발일정표!$Q:$Q,"&lt;="&amp;$C$1)</f>
        <v>0</v>
      </c>
      <c r="P14" s="14">
        <f t="shared" ref="P14:P16" si="31">IF(K14=0, 0,(L14+M14)/K14)</f>
        <v>0</v>
      </c>
      <c r="Q14" s="14">
        <f t="shared" ref="Q14:Q16" si="32">IF(C14=0,0,(L14+M14)/C14)</f>
        <v>0</v>
      </c>
      <c r="R14" s="12">
        <f>COUNTIFS(개발일정표!$A:$A,$A$13,개발일정표!$B:$B,$B14,개발일정표!$H:$H,"&lt;&gt;삭제",개발일정표!$T:$T,"&lt;&gt;검수제외")</f>
        <v>6</v>
      </c>
      <c r="S14" s="45">
        <f>COUNTIFS(개발일정표!$A:$A,$A$13,개발일정표!$B:$B,$B14,개발일정표!$H:$H,"&lt;&gt;삭제",개발일정표!$T:$T,"&lt;&gt;검수제외",개발일정표!$V:$V,"&lt;="&amp;$C$1)</f>
        <v>0</v>
      </c>
      <c r="T14" s="58">
        <f>COUNTIFS(개발일정표!$A:$A,$A$13,개발일정표!$B:$B,$B14,개발일정표!$H:$H,"&lt;&gt;삭제",개발일정표!$T:$T,"&lt;&gt;검수제외",개발일정표!$Y:$Y,"=L3",개발일정표!$X:$X,"&lt;="&amp;$C$1)+COUNTIFS(개발일정표!$A:$A,$A$13,개발일정표!$B:$B,$B14,개발일정표!$H:$H,"&lt;&gt;삭제",개발일정표!$T:$T,"&lt;&gt;검수제외",개발일정표!$Y:$Y,"=L1",개발일정표!$Z:$Z,"=Y",개발일정표!$X:$X,"&lt;="&amp;$C$1)+COUNTIFS(개발일정표!$A:$A,$A$13,개발일정표!$B:$B,$B14,개발일정표!$H:$H,"&lt;&gt;삭제",개발일정표!$T:$T,"&lt;&gt;검수제외",개발일정표!$Y:$Y,"=L2",개발일정표!$Z:$Z,"=Y",개발일정표!$X:$X,"&lt;="&amp;$C$1)</f>
        <v>0</v>
      </c>
      <c r="U14" s="58">
        <f>COUNTIFS(개발일정표!$A:$A,$A$13,개발일정표!$B:$B,$B14,개발일정표!$H:$H,"&lt;&gt;삭제",개발일정표!$T:$T,"&lt;&gt;검수제외",개발일정표!$Y:$Y,"=L2")-COUNTIFS(개발일정표!$A:$A,$A$13,개발일정표!$B:$B,$B14,개발일정표!$H:$H,"&lt;&gt;삭제",개발일정표!$T:$T,"&lt;&gt;검수제외",개발일정표!$Y:$Y,"=L2",개발일정표!$Z:$Z,"=Y",개발일정표!$X:$X,"&lt;="&amp;$C$1)</f>
        <v>0</v>
      </c>
      <c r="V14" s="13">
        <f t="shared" ref="V14:V15" si="33">S14-(T14+U14)</f>
        <v>0</v>
      </c>
      <c r="W14" s="58">
        <f>COUNTIFS(개발일정표!$A:$A,$A$13,개발일정표!$B:$B,$B14,개발일정표!$H:$H,"&lt;&gt;삭제",개발일정표!$T:$T,"&lt;&gt;검수제외",개발일정표!$Y:$Y,"=L1")-COUNTIFS(개발일정표!$A:$A,$A$13,개발일정표!$B:$B,$B14,개발일정표!$H:$H,"&lt;&gt;삭제",개발일정표!$T:$T,"&lt;&gt;검수제외",개발일정표!$Y:$Y,"=L1",개발일정표!$Z:$Z,"=Y",개발일정표!$X:$X,"&lt;="&amp;$C$1)</f>
        <v>0</v>
      </c>
      <c r="X14" s="14">
        <f t="shared" ref="X14:X16" si="34">IF(S14=0, 0,(T14+U14)/S14)</f>
        <v>0</v>
      </c>
      <c r="Y14" s="14">
        <f t="shared" ref="Y14:Y16" si="35">IF(R14=0,0,(T14+U14)/R14)</f>
        <v>0</v>
      </c>
      <c r="Z14" s="12">
        <f>COUNTIFS(개발일정표!$A:$A,$A$13,개발일정표!$B:$B,$B14,개발일정표!$H:$H,"&lt;&gt;삭제",개발일정표!$AA:$AA,"&lt;&gt;검수제외")</f>
        <v>6</v>
      </c>
      <c r="AA14" s="45">
        <f>COUNTIFS(개발일정표!$A:$A,$A$13,개발일정표!$B:$B,$B14,개발일정표!$H:$H,"&lt;&gt;삭제",개발일정표!$AA:$AA,"&lt;&gt;검수제외",개발일정표!$AC:$AC,"&lt;="&amp;$C$1)</f>
        <v>0</v>
      </c>
      <c r="AB14" s="58">
        <f>COUNTIFS(개발일정표!$A:$A,$A$13,개발일정표!$B:$B,$B14,개발일정표!$H:$H,"&lt;&gt;삭제",개발일정표!$AA:$AA,"&lt;&gt;검수제외",개발일정표!$AF:$AF,"=L3",개발일정표!$AE:$AE,"&lt;="&amp;$C$1)+COUNTIFS(개발일정표!$A:$A,$A$13,개발일정표!$B:$B,$B14,개발일정표!$H:$H,"&lt;&gt;삭제",개발일정표!$AA:$AA,"&lt;&gt;검수제외",개발일정표!$AF:$AF,"=L1",개발일정표!$AG:$AG,"=Y",개발일정표!$AE:$AE,"&lt;="&amp;$C$1)+COUNTIFS(개발일정표!$A:$A,$A$13,개발일정표!$B:$B,$B14,개발일정표!$H:$H,"&lt;&gt;삭제",개발일정표!$AA:$AA,"&lt;&gt;검수제외",개발일정표!$AF:$AF,"=L2",개발일정표!$AG:$AG,"=Y",개발일정표!$AE:$AE,"&lt;="&amp;$C$1)</f>
        <v>0</v>
      </c>
      <c r="AC14" s="58">
        <f>COUNTIFS(개발일정표!$A:$A,$A$13,개발일정표!$B:$B,$B14,개발일정표!$H:$H,"&lt;&gt;삭제",개발일정표!$AA:$AA,"&lt;&gt;검수제외",개발일정표!$AF:$AF,"=L2")-COUNTIFS(개발일정표!$A:$A,$A$13,개발일정표!$B:$B,$B14,개발일정표!$H:$H,"&lt;&gt;삭제",개발일정표!$AA:$AA,"&lt;&gt;검수제외",개발일정표!$AF:$AF,"=L2",개발일정표!$AG:$AG,"=Y",개발일정표!$AE:$AE,"&lt;="&amp;$C$1)</f>
        <v>0</v>
      </c>
      <c r="AD14" s="59">
        <f t="shared" ref="AD14:AD15" si="36">AA14-(AB14+AC14)</f>
        <v>0</v>
      </c>
      <c r="AE14" s="58">
        <f>COUNTIFS(개발일정표!$A:$A,$A$13,개발일정표!$B:$B,$B14,개발일정표!$H:$H,"&lt;&gt;삭제",개발일정표!$AA:$AA,"&lt;&gt;검수제외",개발일정표!$AF:$AF,"=L1")-COUNTIFS(개발일정표!$A:$A,$A$13,개발일정표!$B:$B,$B14,개발일정표!$H:$H,"&lt;&gt;삭제",개발일정표!$AA:$AA,"&lt;&gt;검수제외",개발일정표!$AF:$AF,"=L1",개발일정표!$AG:$AG,"=Y",개발일정표!$AE:$AE,"&lt;="&amp;$C$1)</f>
        <v>0</v>
      </c>
      <c r="AF14" s="14">
        <f t="shared" ref="AF14:AF15" si="37">IF(AA14=0, 0,(AB14+AC14)/AA14)</f>
        <v>0</v>
      </c>
      <c r="AG14" s="14">
        <f t="shared" ref="AG14:AG16" si="38">IF(Z14=0,0,(AB14+AC14)/Z14)</f>
        <v>0</v>
      </c>
      <c r="AH14" s="58">
        <f>COUNTIFS(개발일정표!$A:$A,$A$13,개발일정표!$B:$B,$B14,개발일정표!$H:$H,"&lt;&gt;삭제",개발일정표!$J:$J,"&lt;&gt;미정")</f>
        <v>4</v>
      </c>
      <c r="AI14" s="58">
        <f>COUNTIFS(개발일정표!$A:$A,$A$13,개발일정표!$B:$B,$B14,개발일정표!$H:$H,"&lt;&gt;삭제",개발일정표!$J:$J,"=미정")</f>
        <v>2</v>
      </c>
    </row>
    <row r="15" spans="1:35" ht="14.25" customHeight="1">
      <c r="A15" s="158"/>
      <c r="B15" s="11" t="s">
        <v>427</v>
      </c>
      <c r="C15" s="12">
        <f>COUNTIFS(개발일정표!$A:$A,$A$13,개발일정표!$B:$B,$B15,개발일정표!$H:$H,"&lt;&gt;삭제")</f>
        <v>4</v>
      </c>
      <c r="D15" s="12">
        <f>COUNTIFS(개발일정표!$A:$A,$A$13,개발일정표!$B:$B,$B15,개발일정표!$H:$H,"&lt;&gt;삭제",개발일정표!$J:$J,"&lt;="&amp;$C$1)</f>
        <v>0</v>
      </c>
      <c r="E15" s="12">
        <f>COUNTIFS(개발일정표!$A:$A,$A$13,개발일정표!$B:$B,$B15,개발일정표!$H:$H,"&lt;&gt;삭제",개발일정표!$L:$L,"&lt;="&amp;$C$1)</f>
        <v>0</v>
      </c>
      <c r="F15" s="13">
        <f t="shared" si="27"/>
        <v>0</v>
      </c>
      <c r="G15" s="35">
        <f>COUNTIFS(개발일정표!$A:$A,$A$13,개발일정표!$B:$B,$B15,개발일정표!$H:$H,"&lt;&gt;삭제",개발일정표!$K:$K,"&lt;="&amp;$C$1,개발일정표!$L:$L,"")</f>
        <v>0</v>
      </c>
      <c r="H15" s="35">
        <f>COUNTIFS(개발일정표!$A:$A,$A$13,개발일정표!$B:$B,$B15,개발일정표!$H:$H,"&lt;&gt;삭제",개발일정표!$J:$J,"="&amp;$C$1)</f>
        <v>0</v>
      </c>
      <c r="I15" s="14">
        <f t="shared" si="28"/>
        <v>0</v>
      </c>
      <c r="J15" s="14">
        <f t="shared" si="29"/>
        <v>0</v>
      </c>
      <c r="K15" s="12">
        <f>COUNTIFS(개발일정표!$A:$A,$A$13,개발일정표!$B:$B,$B15,개발일정표!$H:$H,"&lt;&gt;삭제",개발일정표!$M:$M,"&lt;&gt;검수제외",개발일정표!$O:$O,"&lt;="&amp;$C$1)</f>
        <v>0</v>
      </c>
      <c r="L15" s="58">
        <f>COUNTIFS(개발일정표!$A:$A,$A$13,개발일정표!$B:$B,$B15,개발일정표!$H:$H,"&lt;&gt;삭제",개발일정표!$M:$M,"&lt;&gt;검수제외",개발일정표!$R:$R,"=L3",개발일정표!$Q:$Q,"&lt;="&amp;$C$1)+COUNTIFS(개발일정표!$A:$A,$A$13,개발일정표!$B:$B,$B15,개발일정표!$H:$H,"&lt;&gt;삭제",개발일정표!$M:$M,"&lt;&gt;검수제외",개발일정표!$R:$R,"=L1",개발일정표!$S:$S,"=Y",개발일정표!$Q:$Q,"&lt;="&amp;$C$1)+COUNTIFS(개발일정표!$A:$A,$A$13,개발일정표!$B:$B,$B15,개발일정표!$H:$H,"&lt;&gt;삭제",개발일정표!$M:$M,"&lt;&gt;검수제외",개발일정표!$R:$R,"=L2",개발일정표!$S:$S,"=Y",개발일정표!$Q:$Q,"&lt;="&amp;$C$1)</f>
        <v>0</v>
      </c>
      <c r="M15" s="58">
        <f>COUNTIFS(개발일정표!$A:$A,$A$13,개발일정표!$B:$B,$B15,개발일정표!$H:$H,"&lt;&gt;삭제",개발일정표!$M:$M,"&lt;&gt;검수제외",개발일정표!$R:$R,"=L2")-COUNTIFS(개발일정표!$A:$A,$A$13,개발일정표!$B:$B,$B15,개발일정표!$H:$H,"&lt;&gt;삭제",개발일정표!$M:$M,"&lt;&gt;검수제외",개발일정표!$R:$R,"=L2",개발일정표!$S:$S,"=Y",개발일정표!$Q:$Q,"&lt;="&amp;$C$1)</f>
        <v>0</v>
      </c>
      <c r="N15" s="13">
        <f t="shared" si="30"/>
        <v>0</v>
      </c>
      <c r="O15" s="58">
        <f>COUNTIFS(개발일정표!$A:$A,$A$13,개발일정표!$B:$B,$B15,개발일정표!$H:$H,"&lt;&gt;삭제",개발일정표!$M:$M,"&lt;&gt;검수제외",개발일정표!$R:$R,"=L1")-COUNTIFS(개발일정표!$A:$A,$A$13,개발일정표!$B:$B,$B15,개발일정표!$H:$H,"&lt;&gt;삭제",개발일정표!$M:$M,"&lt;&gt;검수제외",개발일정표!$R:$R,"=L1",개발일정표!$S:$S,"=Y",개발일정표!$Q:$Q,"&lt;="&amp;$C$1)</f>
        <v>0</v>
      </c>
      <c r="P15" s="14">
        <f t="shared" si="31"/>
        <v>0</v>
      </c>
      <c r="Q15" s="14">
        <f t="shared" si="32"/>
        <v>0</v>
      </c>
      <c r="R15" s="12">
        <f>COUNTIFS(개발일정표!$A:$A,$A$13,개발일정표!$B:$B,$B15,개발일정표!$H:$H,"&lt;&gt;삭제",개발일정표!$T:$T,"&lt;&gt;검수제외")</f>
        <v>4</v>
      </c>
      <c r="S15" s="45">
        <f>COUNTIFS(개발일정표!$A:$A,$A$13,개발일정표!$B:$B,$B15,개발일정표!$H:$H,"&lt;&gt;삭제",개발일정표!$T:$T,"&lt;&gt;검수제외",개발일정표!$V:$V,"&lt;="&amp;$C$1)</f>
        <v>0</v>
      </c>
      <c r="T15" s="58">
        <f>COUNTIFS(개발일정표!$A:$A,$A$13,개발일정표!$B:$B,$B15,개발일정표!$H:$H,"&lt;&gt;삭제",개발일정표!$T:$T,"&lt;&gt;검수제외",개발일정표!$Y:$Y,"=L3",개발일정표!$X:$X,"&lt;="&amp;$C$1)+COUNTIFS(개발일정표!$A:$A,$A$13,개발일정표!$B:$B,$B15,개발일정표!$H:$H,"&lt;&gt;삭제",개발일정표!$T:$T,"&lt;&gt;검수제외",개발일정표!$Y:$Y,"=L1",개발일정표!$Z:$Z,"=Y",개발일정표!$X:$X,"&lt;="&amp;$C$1)+COUNTIFS(개발일정표!$A:$A,$A$13,개발일정표!$B:$B,$B15,개발일정표!$H:$H,"&lt;&gt;삭제",개발일정표!$T:$T,"&lt;&gt;검수제외",개발일정표!$Y:$Y,"=L2",개발일정표!$Z:$Z,"=Y",개발일정표!$X:$X,"&lt;="&amp;$C$1)</f>
        <v>0</v>
      </c>
      <c r="U15" s="58">
        <f>COUNTIFS(개발일정표!$A:$A,$A$13,개발일정표!$B:$B,$B15,개발일정표!$H:$H,"&lt;&gt;삭제",개발일정표!$T:$T,"&lt;&gt;검수제외",개발일정표!$Y:$Y,"=L2")-COUNTIFS(개발일정표!$A:$A,$A$13,개발일정표!$B:$B,$B15,개발일정표!$H:$H,"&lt;&gt;삭제",개발일정표!$T:$T,"&lt;&gt;검수제외",개발일정표!$Y:$Y,"=L2",개발일정표!$Z:$Z,"=Y",개발일정표!$X:$X,"&lt;="&amp;$C$1)</f>
        <v>0</v>
      </c>
      <c r="V15" s="13">
        <f t="shared" si="33"/>
        <v>0</v>
      </c>
      <c r="W15" s="58">
        <f>COUNTIFS(개발일정표!$A:$A,$A$13,개발일정표!$B:$B,$B15,개발일정표!$H:$H,"&lt;&gt;삭제",개발일정표!$T:$T,"&lt;&gt;검수제외",개발일정표!$Y:$Y,"=L1")-COUNTIFS(개발일정표!$A:$A,$A$13,개발일정표!$B:$B,$B15,개발일정표!$H:$H,"&lt;&gt;삭제",개발일정표!$T:$T,"&lt;&gt;검수제외",개발일정표!$Y:$Y,"=L1",개발일정표!$Z:$Z,"=Y",개발일정표!$X:$X,"&lt;="&amp;$C$1)</f>
        <v>0</v>
      </c>
      <c r="X15" s="14">
        <f t="shared" si="34"/>
        <v>0</v>
      </c>
      <c r="Y15" s="14">
        <f t="shared" si="35"/>
        <v>0</v>
      </c>
      <c r="Z15" s="12">
        <f>COUNTIFS(개발일정표!$A:$A,$A$13,개발일정표!$B:$B,$B15,개발일정표!$H:$H,"&lt;&gt;삭제",개발일정표!$AA:$AA,"&lt;&gt;검수제외")</f>
        <v>4</v>
      </c>
      <c r="AA15" s="45">
        <f>COUNTIFS(개발일정표!$A:$A,$A$13,개발일정표!$B:$B,$B15,개발일정표!$H:$H,"&lt;&gt;삭제",개발일정표!$AA:$AA,"&lt;&gt;검수제외",개발일정표!$AC:$AC,"&lt;="&amp;$C$1)</f>
        <v>0</v>
      </c>
      <c r="AB15" s="58">
        <f>COUNTIFS(개발일정표!$A:$A,$A$13,개발일정표!$B:$B,$B15,개발일정표!$H:$H,"&lt;&gt;삭제",개발일정표!$AA:$AA,"&lt;&gt;검수제외",개발일정표!$AF:$AF,"=L3",개발일정표!$AE:$AE,"&lt;="&amp;$C$1)+COUNTIFS(개발일정표!$A:$A,$A$13,개발일정표!$B:$B,$B15,개발일정표!$H:$H,"&lt;&gt;삭제",개발일정표!$AA:$AA,"&lt;&gt;검수제외",개발일정표!$AF:$AF,"=L1",개발일정표!$AG:$AG,"=Y",개발일정표!$AE:$AE,"&lt;="&amp;$C$1)+COUNTIFS(개발일정표!$A:$A,$A$13,개발일정표!$B:$B,$B15,개발일정표!$H:$H,"&lt;&gt;삭제",개발일정표!$AA:$AA,"&lt;&gt;검수제외",개발일정표!$AF:$AF,"=L2",개발일정표!$AG:$AG,"=Y",개발일정표!$AE:$AE,"&lt;="&amp;$C$1)</f>
        <v>0</v>
      </c>
      <c r="AC15" s="58">
        <f>COUNTIFS(개발일정표!$A:$A,$A$13,개발일정표!$B:$B,$B15,개발일정표!$H:$H,"&lt;&gt;삭제",개발일정표!$AA:$AA,"&lt;&gt;검수제외",개발일정표!$AF:$AF,"=L2")-COUNTIFS(개발일정표!$A:$A,$A$13,개발일정표!$B:$B,$B15,개발일정표!$H:$H,"&lt;&gt;삭제",개발일정표!$AA:$AA,"&lt;&gt;검수제외",개발일정표!$AF:$AF,"=L2",개발일정표!$AG:$AG,"=Y",개발일정표!$AE:$AE,"&lt;="&amp;$C$1)</f>
        <v>0</v>
      </c>
      <c r="AD15" s="59">
        <f t="shared" si="36"/>
        <v>0</v>
      </c>
      <c r="AE15" s="58">
        <f>COUNTIFS(개발일정표!$A:$A,$A$13,개발일정표!$B:$B,$B15,개발일정표!$H:$H,"&lt;&gt;삭제",개발일정표!$AA:$AA,"&lt;&gt;검수제외",개발일정표!$AF:$AF,"=L1")-COUNTIFS(개발일정표!$A:$A,$A$13,개발일정표!$B:$B,$B15,개발일정표!$H:$H,"&lt;&gt;삭제",개발일정표!$AA:$AA,"&lt;&gt;검수제외",개발일정표!$AF:$AF,"=L1",개발일정표!$AG:$AG,"=Y",개발일정표!$AE:$AE,"&lt;="&amp;$C$1)</f>
        <v>0</v>
      </c>
      <c r="AF15" s="14">
        <f t="shared" si="37"/>
        <v>0</v>
      </c>
      <c r="AG15" s="14">
        <f t="shared" si="38"/>
        <v>0</v>
      </c>
      <c r="AH15" s="58">
        <f>COUNTIFS(개발일정표!$A:$A,$A$13,개발일정표!$B:$B,$B15,개발일정표!$H:$H,"&lt;&gt;삭제",개발일정표!$J:$J,"&lt;&gt;미정")</f>
        <v>0</v>
      </c>
      <c r="AI15" s="58">
        <f>COUNTIFS(개발일정표!$A:$A,$A$13,개발일정표!$B:$B,$B15,개발일정표!$H:$H,"&lt;&gt;삭제",개발일정표!$J:$J,"=미정")</f>
        <v>4</v>
      </c>
    </row>
    <row r="16" spans="1:35" ht="14.25" customHeight="1">
      <c r="A16" s="158"/>
      <c r="B16" s="15" t="s">
        <v>57</v>
      </c>
      <c r="C16" s="16">
        <f t="shared" ref="C16:H16" si="39">SUM(C13:C15)</f>
        <v>24</v>
      </c>
      <c r="D16" s="16">
        <f t="shared" si="39"/>
        <v>0</v>
      </c>
      <c r="E16" s="16">
        <f t="shared" si="39"/>
        <v>0</v>
      </c>
      <c r="F16" s="16">
        <f t="shared" si="39"/>
        <v>0</v>
      </c>
      <c r="G16" s="36">
        <f t="shared" si="39"/>
        <v>0</v>
      </c>
      <c r="H16" s="36">
        <f t="shared" si="39"/>
        <v>0</v>
      </c>
      <c r="I16" s="21">
        <f t="shared" si="28"/>
        <v>0</v>
      </c>
      <c r="J16" s="21">
        <f t="shared" si="29"/>
        <v>0</v>
      </c>
      <c r="K16" s="20">
        <f>SUM(K13:K15)</f>
        <v>0</v>
      </c>
      <c r="L16" s="20">
        <f>SUM(L13:L15)</f>
        <v>0</v>
      </c>
      <c r="M16" s="20">
        <f>SUM(M13:M15)</f>
        <v>0</v>
      </c>
      <c r="N16" s="20">
        <f>SUM(N13:N15)</f>
        <v>0</v>
      </c>
      <c r="O16" s="20">
        <f>SUM(O13:O15)</f>
        <v>0</v>
      </c>
      <c r="P16" s="21">
        <f t="shared" si="31"/>
        <v>0</v>
      </c>
      <c r="Q16" s="21">
        <f t="shared" si="32"/>
        <v>0</v>
      </c>
      <c r="R16" s="20">
        <f t="shared" ref="R16:W16" si="40">SUM(R13:R15)</f>
        <v>24</v>
      </c>
      <c r="S16" s="20">
        <f t="shared" si="40"/>
        <v>0</v>
      </c>
      <c r="T16" s="20">
        <f t="shared" si="40"/>
        <v>0</v>
      </c>
      <c r="U16" s="20">
        <f t="shared" si="40"/>
        <v>0</v>
      </c>
      <c r="V16" s="20">
        <f t="shared" si="40"/>
        <v>0</v>
      </c>
      <c r="W16" s="20">
        <f t="shared" si="40"/>
        <v>0</v>
      </c>
      <c r="X16" s="21">
        <f t="shared" si="34"/>
        <v>0</v>
      </c>
      <c r="Y16" s="21">
        <f t="shared" si="35"/>
        <v>0</v>
      </c>
      <c r="Z16" s="20">
        <f t="shared" ref="Z16:AE16" si="41">SUM(Z13:Z15)</f>
        <v>24</v>
      </c>
      <c r="AA16" s="20">
        <f t="shared" si="41"/>
        <v>0</v>
      </c>
      <c r="AB16" s="20">
        <f t="shared" si="41"/>
        <v>0</v>
      </c>
      <c r="AC16" s="20">
        <f t="shared" si="41"/>
        <v>0</v>
      </c>
      <c r="AD16" s="20">
        <f t="shared" si="41"/>
        <v>0</v>
      </c>
      <c r="AE16" s="20">
        <f t="shared" si="41"/>
        <v>0</v>
      </c>
      <c r="AF16" s="21">
        <f>IF(AA16=0,0,(AB16+AC16)/AA16)</f>
        <v>0</v>
      </c>
      <c r="AG16" s="21">
        <f t="shared" si="38"/>
        <v>0</v>
      </c>
      <c r="AH16" s="61">
        <f t="shared" ref="AH16:AI16" si="42">SUM(AH13:AH15)</f>
        <v>13</v>
      </c>
      <c r="AI16" s="61">
        <f t="shared" si="42"/>
        <v>11</v>
      </c>
    </row>
    <row r="17" spans="1:35" s="56" customFormat="1" ht="14.25" customHeight="1">
      <c r="A17" s="158" t="s">
        <v>428</v>
      </c>
      <c r="B17" s="114" t="s">
        <v>429</v>
      </c>
      <c r="C17" s="58">
        <f>COUNTIFS(개발일정표!$A:$A,$A$17,개발일정표!$B:$B,$B17,개발일정표!$H:$H,"&lt;&gt;삭제")</f>
        <v>5</v>
      </c>
      <c r="D17" s="58">
        <f>COUNTIFS(개발일정표!$A:$A,$A$17,개발일정표!$B:$B,$B17,개발일정표!$H:$H,"&lt;&gt;삭제",개발일정표!$J:$J,"&lt;="&amp;$C$1)</f>
        <v>0</v>
      </c>
      <c r="E17" s="58">
        <f>COUNTIFS(개발일정표!$A:$A,$A$17,개발일정표!$B:$B,$B17,개발일정표!$H:$H,"&lt;&gt;삭제",개발일정표!$L:$L,"&lt;="&amp;$C$1)</f>
        <v>0</v>
      </c>
      <c r="F17" s="59">
        <f>D17-E17</f>
        <v>0</v>
      </c>
      <c r="G17" s="59">
        <f>COUNTIFS(개발일정표!$A:$A,$A$17,개발일정표!$B:$B,$B17,개발일정표!$H:$H,"&lt;&gt;삭제",개발일정표!$K:$K,"&lt;="&amp;$C$1,개발일정표!$L:$L,"")</f>
        <v>0</v>
      </c>
      <c r="H17" s="59">
        <f>COUNTIFS(개발일정표!$A:$A,$A$17,개발일정표!$B:$B,$B17,개발일정표!$H:$H,"&lt;&gt;삭제",개발일정표!$J:$J,"="&amp;$C$1)</f>
        <v>0</v>
      </c>
      <c r="I17" s="60">
        <f t="shared" ref="I17:I18" si="43">IF(D17=0,0,E17/D17)</f>
        <v>0</v>
      </c>
      <c r="J17" s="60">
        <f t="shared" ref="J17:J18" si="44">IF(C17=0,0,E17/C17)</f>
        <v>0</v>
      </c>
      <c r="K17" s="58">
        <f>COUNTIFS(개발일정표!$A:$A,$A$17,개발일정표!$B:$B,$B17,개발일정표!$H:$H,"&lt;&gt;삭제",개발일정표!$M:$M,"&lt;&gt;검수제외",개발일정표!$O:$O,"&lt;="&amp;$C$1)</f>
        <v>0</v>
      </c>
      <c r="L17" s="58">
        <f>COUNTIFS(개발일정표!$A:$A,$A$17,개발일정표!$B:$B,$B17,개발일정표!$H:$H,"&lt;&gt;삭제",개발일정표!$M:$M,"&lt;&gt;검수제외",개발일정표!$R:$R,"=L3",개발일정표!$Q:$Q,"&lt;="&amp;$C$1)+COUNTIFS(개발일정표!$A:$A,$A$17,개발일정표!$B:$B,$B17,개발일정표!$H:$H,"&lt;&gt;삭제",개발일정표!$M:$M,"&lt;&gt;검수제외",개발일정표!$R:$R,"=L1",개발일정표!$S:$S,"=Y",개발일정표!$Q:$Q,"&lt;="&amp;$C$1)+COUNTIFS(개발일정표!$A:$A,$A$17,개발일정표!$B:$B,$B17,개발일정표!$H:$H,"&lt;&gt;삭제",개발일정표!$M:$M,"&lt;&gt;검수제외",개발일정표!$R:$R,"=L2",개발일정표!$S:$S,"=Y",개발일정표!$Q:$Q,"&lt;="&amp;$C$1)</f>
        <v>0</v>
      </c>
      <c r="M17" s="58">
        <f>COUNTIFS(개발일정표!$A:$A,$A$17,개발일정표!$B:$B,$B17,개발일정표!$H:$H,"&lt;&gt;삭제",개발일정표!$M:$M,"&lt;&gt;검수제외",개발일정표!$R:$R,"=L2")-COUNTIFS(개발일정표!$A:$A,$A$17,개발일정표!$B:$B,$B17,개발일정표!$H:$H,"&lt;&gt;삭제",개발일정표!$M:$M,"&lt;&gt;검수제외",개발일정표!$R:$R,"=L2",개발일정표!$S:$S,"=Y",개발일정표!$Q:$Q,"&lt;="&amp;$C$1)</f>
        <v>0</v>
      </c>
      <c r="N17" s="59">
        <f>K17-(L17+M17)</f>
        <v>0</v>
      </c>
      <c r="O17" s="58">
        <f>COUNTIFS(개발일정표!$A:$A,$A$17,개발일정표!$B:$B,$B17,개발일정표!$H:$H,"&lt;&gt;삭제",개발일정표!$M:$M,"&lt;&gt;검수제외",개발일정표!$R:$R,"=L1")-COUNTIFS(개발일정표!$A:$A,$A$17,개발일정표!$B:$B,$B17,개발일정표!$H:$H,"&lt;&gt;삭제",개발일정표!$M:$M,"&lt;&gt;검수제외",개발일정표!$R:$R,"=L1",개발일정표!$S:$S,"=Y",개발일정표!$Q:$Q,"&lt;="&amp;$C$1)</f>
        <v>0</v>
      </c>
      <c r="P17" s="60">
        <f t="shared" ref="P17:P18" si="45">IF(K17=0, 0,(L17+M17)/K17)</f>
        <v>0</v>
      </c>
      <c r="Q17" s="60">
        <f t="shared" ref="Q17:Q18" si="46">IF(C17=0,0,(L17+M17)/C17)</f>
        <v>0</v>
      </c>
      <c r="R17" s="58">
        <f>COUNTIFS(개발일정표!$A:$A,$A$17,개발일정표!$B:$B,$B17,개발일정표!$H:$H,"&lt;&gt;삭제",개발일정표!$T:$T,"&lt;&gt;검수제외")</f>
        <v>5</v>
      </c>
      <c r="S17" s="58">
        <f>COUNTIFS(개발일정표!$A:$A,$A$17,개발일정표!$B:$B,$B17,개발일정표!$H:$H,"&lt;&gt;삭제",개발일정표!$T:$T,"&lt;&gt;검수제외",개발일정표!$V:$V,"&lt;="&amp;$C$1)</f>
        <v>0</v>
      </c>
      <c r="T17" s="58">
        <f>COUNTIFS(개발일정표!$A:$A,$A$17,개발일정표!$B:$B,$B17,개발일정표!$H:$H,"&lt;&gt;삭제",개발일정표!$T:$T,"&lt;&gt;검수제외",개발일정표!$Y:$Y,"=L3",개발일정표!$X:$X,"&lt;="&amp;$C$1)+COUNTIFS(개발일정표!$A:$A,$A$17,개발일정표!$B:$B,$B17,개발일정표!$H:$H,"&lt;&gt;삭제",개발일정표!$T:$T,"&lt;&gt;검수제외",개발일정표!$Y:$Y,"=L1",개발일정표!$Z:$Z,"=Y",개발일정표!$X:$X,"&lt;="&amp;$C$1)+COUNTIFS(개발일정표!$A:$A,$A$17,개발일정표!$B:$B,$B17,개발일정표!$H:$H,"&lt;&gt;삭제",개발일정표!$T:$T,"&lt;&gt;검수제외",개발일정표!$Y:$Y,"=L2",개발일정표!$Z:$Z,"=Y",개발일정표!$X:$X,"&lt;="&amp;$C$1)</f>
        <v>0</v>
      </c>
      <c r="U17" s="58">
        <f>COUNTIFS(개발일정표!$A:$A,$A$17,개발일정표!$B:$B,$B17,개발일정표!$H:$H,"&lt;&gt;삭제",개발일정표!$T:$T,"&lt;&gt;검수제외",개발일정표!$Y:$Y,"=L2")-COUNTIFS(개발일정표!$A:$A,$A$17,개발일정표!$B:$B,$B17,개발일정표!$H:$H,"&lt;&gt;삭제",개발일정표!$T:$T,"&lt;&gt;검수제외",개발일정표!$Y:$Y,"=L2",개발일정표!$Z:$Z,"=Y",개발일정표!$X:$X,"&lt;="&amp;$C$1)</f>
        <v>0</v>
      </c>
      <c r="V17" s="59">
        <f>S17-(T17+U17)</f>
        <v>0</v>
      </c>
      <c r="W17" s="58">
        <f>COUNTIFS(개발일정표!$A:$A,$A$17,개발일정표!$B:$B,$B17,개발일정표!$H:$H,"&lt;&gt;삭제",개발일정표!$T:$T,"&lt;&gt;검수제외",개발일정표!$Y:$Y,"=L1")-COUNTIFS(개발일정표!$A:$A,$A$17,개발일정표!$B:$B,$B17,개발일정표!$H:$H,"&lt;&gt;삭제",개발일정표!$T:$T,"&lt;&gt;검수제외",개발일정표!$Y:$Y,"=L1",개발일정표!$Z:$Z,"=Y",개발일정표!$X:$X,"&lt;="&amp;$C$1)</f>
        <v>0</v>
      </c>
      <c r="X17" s="60">
        <f t="shared" ref="X17:X18" si="47">IF(S17=0, 0,(T17+U17)/S17)</f>
        <v>0</v>
      </c>
      <c r="Y17" s="60">
        <f t="shared" ref="Y17:Y18" si="48">IF(R17=0,0,(T17+U17)/R17)</f>
        <v>0</v>
      </c>
      <c r="Z17" s="58">
        <f>COUNTIFS(개발일정표!$A:$A,$A$17,개발일정표!$B:$B,$B17,개발일정표!$H:$H,"&lt;&gt;삭제",개발일정표!$AA:$AA,"&lt;&gt;검수제외")</f>
        <v>5</v>
      </c>
      <c r="AA17" s="58">
        <f>COUNTIFS(개발일정표!$A:$A,$A$17,개발일정표!$B:$B,$B17,개발일정표!$H:$H,"&lt;&gt;삭제",개발일정표!$AA:$AA,"&lt;&gt;검수제외",개발일정표!$AC:$AC,"&lt;="&amp;$C$1)</f>
        <v>0</v>
      </c>
      <c r="AB17" s="58">
        <f>COUNTIFS(개발일정표!$A:$A,$A$17,개발일정표!$B:$B,$B17,개발일정표!$H:$H,"&lt;&gt;삭제",개발일정표!$AA:$AA,"&lt;&gt;검수제외",개발일정표!$AF:$AF,"=L3",개발일정표!$AE:$AE,"&lt;="&amp;$C$1)+COUNTIFS(개발일정표!$A:$A,$A$17,개발일정표!$B:$B,$B17,개발일정표!$H:$H,"&lt;&gt;삭제",개발일정표!$AA:$AA,"&lt;&gt;검수제외",개발일정표!$AF:$AF,"=L1",개발일정표!$AG:$AG,"=Y",개발일정표!$AE:$AE,"&lt;="&amp;$C$1)+COUNTIFS(개발일정표!$A:$A,$A$17,개발일정표!$B:$B,$B17,개발일정표!$H:$H,"&lt;&gt;삭제",개발일정표!$AA:$AA,"&lt;&gt;검수제외",개발일정표!$AF:$AF,"=L2",개발일정표!$AG:$AG,"=Y",개발일정표!$AE:$AE,"&lt;="&amp;$C$1)</f>
        <v>0</v>
      </c>
      <c r="AC17" s="58">
        <f>COUNTIFS(개발일정표!$A:$A,$A$17,개발일정표!$B:$B,$B17,개발일정표!$H:$H,"&lt;&gt;삭제",개발일정표!$AA:$AA,"&lt;&gt;검수제외",개발일정표!$AF:$AF,"=L2")-COUNTIFS(개발일정표!$A:$A,$A$17,개발일정표!$B:$B,$B17,개발일정표!$H:$H,"&lt;&gt;삭제",개발일정표!$AA:$AA,"&lt;&gt;검수제외",개발일정표!$AF:$AF,"=L2",개발일정표!$AG:$AG,"=Y",개발일정표!$AE:$AE,"&lt;="&amp;$C$1)</f>
        <v>0</v>
      </c>
      <c r="AD17" s="59">
        <f>AA17-(AB17+AC17)</f>
        <v>0</v>
      </c>
      <c r="AE17" s="58">
        <f>COUNTIFS(개발일정표!$A:$A,$A$17,개발일정표!$B:$B,$B17,개발일정표!$H:$H,"&lt;&gt;삭제",개발일정표!$AA:$AA,"&lt;&gt;검수제외",개발일정표!$AF:$AF,"=L1")-COUNTIFS(개발일정표!$A:$A,$A$17,개발일정표!$B:$B,$B17,개발일정표!$H:$H,"&lt;&gt;삭제",개발일정표!$AA:$AA,"&lt;&gt;검수제외",개발일정표!$AF:$AF,"=L1",개발일정표!$AG:$AG,"=Y",개발일정표!$AE:$AE,"&lt;="&amp;$C$1)</f>
        <v>0</v>
      </c>
      <c r="AF17" s="60">
        <f>IF(AA17=0, 0,(AB17+AC17)/AA17)</f>
        <v>0</v>
      </c>
      <c r="AG17" s="60">
        <f t="shared" ref="AG17:AG18" si="49">IF(Z17=0,0,(AB17+AC17)/Z17)</f>
        <v>0</v>
      </c>
      <c r="AH17" s="58">
        <f>COUNTIFS(개발일정표!$A:$A,$A$17,개발일정표!$B:$B,$B17,개발일정표!$H:$H,"&lt;&gt;삭제",개발일정표!$J:$J,"&lt;&gt;미정")</f>
        <v>4</v>
      </c>
      <c r="AI17" s="58">
        <f>COUNTIFS(개발일정표!$A:$A,$A$17,개발일정표!$B:$B,$B17,개발일정표!$H:$H,"&lt;&gt;삭제",개발일정표!$J:$J,"=미정")</f>
        <v>1</v>
      </c>
    </row>
    <row r="18" spans="1:35" s="56" customFormat="1" ht="14.25" customHeight="1">
      <c r="A18" s="158"/>
      <c r="B18" s="15" t="s">
        <v>57</v>
      </c>
      <c r="C18" s="61">
        <f t="shared" ref="C18:H18" si="50">SUM(C17:C17)</f>
        <v>5</v>
      </c>
      <c r="D18" s="61">
        <f t="shared" si="50"/>
        <v>0</v>
      </c>
      <c r="E18" s="61">
        <f t="shared" si="50"/>
        <v>0</v>
      </c>
      <c r="F18" s="61">
        <f t="shared" si="50"/>
        <v>0</v>
      </c>
      <c r="G18" s="36">
        <f t="shared" si="50"/>
        <v>0</v>
      </c>
      <c r="H18" s="36">
        <f t="shared" si="50"/>
        <v>0</v>
      </c>
      <c r="I18" s="21">
        <f t="shared" si="43"/>
        <v>0</v>
      </c>
      <c r="J18" s="21">
        <f t="shared" si="44"/>
        <v>0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45"/>
        <v>0</v>
      </c>
      <c r="Q18" s="21">
        <f t="shared" si="46"/>
        <v>0</v>
      </c>
      <c r="R18" s="20">
        <f t="shared" ref="R18:W18" si="51">SUM(R17:R17)</f>
        <v>5</v>
      </c>
      <c r="S18" s="20">
        <f t="shared" si="51"/>
        <v>0</v>
      </c>
      <c r="T18" s="20">
        <f t="shared" si="51"/>
        <v>0</v>
      </c>
      <c r="U18" s="20">
        <f t="shared" si="51"/>
        <v>0</v>
      </c>
      <c r="V18" s="20">
        <f t="shared" si="51"/>
        <v>0</v>
      </c>
      <c r="W18" s="20">
        <f t="shared" si="51"/>
        <v>0</v>
      </c>
      <c r="X18" s="21">
        <f t="shared" si="47"/>
        <v>0</v>
      </c>
      <c r="Y18" s="21">
        <f t="shared" si="48"/>
        <v>0</v>
      </c>
      <c r="Z18" s="20">
        <f t="shared" ref="Z18:AE18" si="52">SUM(Z17:Z17)</f>
        <v>5</v>
      </c>
      <c r="AA18" s="20">
        <f t="shared" si="52"/>
        <v>0</v>
      </c>
      <c r="AB18" s="20">
        <f t="shared" si="52"/>
        <v>0</v>
      </c>
      <c r="AC18" s="20">
        <f t="shared" si="52"/>
        <v>0</v>
      </c>
      <c r="AD18" s="20">
        <f t="shared" si="52"/>
        <v>0</v>
      </c>
      <c r="AE18" s="20">
        <f t="shared" si="52"/>
        <v>0</v>
      </c>
      <c r="AF18" s="21">
        <f>IF(AA18=0,0,(AB18+AC18)/AA18)</f>
        <v>0</v>
      </c>
      <c r="AG18" s="21">
        <f t="shared" si="49"/>
        <v>0</v>
      </c>
      <c r="AH18" s="61">
        <f t="shared" ref="AH18:AI18" si="53">SUM(AH17:AH17)</f>
        <v>4</v>
      </c>
      <c r="AI18" s="61">
        <f t="shared" si="53"/>
        <v>1</v>
      </c>
    </row>
    <row r="19" spans="1:35" ht="14.25" customHeight="1">
      <c r="A19" s="158" t="s">
        <v>273</v>
      </c>
      <c r="B19" s="11" t="s">
        <v>431</v>
      </c>
      <c r="C19" s="12">
        <f>COUNTIFS(개발일정표!$A:$A,$A$19,개발일정표!$B:$B,$B19,개발일정표!$H:$H,"&lt;&gt;삭제")</f>
        <v>5</v>
      </c>
      <c r="D19" s="12">
        <f>COUNTIFS(개발일정표!$A:$A,$A$19,개발일정표!$B:$B,$B19,개발일정표!$H:$H,"&lt;&gt;삭제",개발일정표!$J:$J,"&lt;="&amp;$C$1)</f>
        <v>0</v>
      </c>
      <c r="E19" s="12">
        <f>COUNTIFS(개발일정표!$A:$A,$A$19,개발일정표!$B:$B,$B19,개발일정표!$H:$H,"&lt;&gt;삭제",개발일정표!$L:$L,"&lt;="&amp;$C$1)</f>
        <v>0</v>
      </c>
      <c r="F19" s="13">
        <f>D19-E19</f>
        <v>0</v>
      </c>
      <c r="G19" s="35">
        <f>COUNTIFS(개발일정표!$A:$A,$A$19,개발일정표!$B:$B,$B19,개발일정표!$H:$H,"&lt;&gt;삭제",개발일정표!$K:$K,"&lt;="&amp;$C$1,개발일정표!$L:$L,"")</f>
        <v>0</v>
      </c>
      <c r="H19" s="35">
        <f>COUNTIFS(개발일정표!$A:$A,$A$19,개발일정표!$B:$B,$B19,개발일정표!$H:$H,"&lt;&gt;삭제",개발일정표!$J:$J,"="&amp;$C$1)</f>
        <v>0</v>
      </c>
      <c r="I19" s="14">
        <f>IF(D19=0,0,E19/D19)</f>
        <v>0</v>
      </c>
      <c r="J19" s="14">
        <f>IF(C19=0,0,E19/C19)</f>
        <v>0</v>
      </c>
      <c r="K19" s="12">
        <f>COUNTIFS(개발일정표!$A:$A,$A$19,개발일정표!$B:$B,$B19,개발일정표!$H:$H,"&lt;&gt;삭제",개발일정표!$M:$M,"&lt;&gt;검수제외",개발일정표!$O:$O,"&lt;="&amp;$C$1)</f>
        <v>0</v>
      </c>
      <c r="L19" s="12">
        <f>COUNTIFS(개발일정표!$A:$A,$A$19,개발일정표!$B:$B,$B19,개발일정표!$H:$H,"&lt;&gt;삭제",개발일정표!$M:$M,"&lt;&gt;검수제외",개발일정표!$R:$R,"=L3",개발일정표!$Q:$Q,"&lt;="&amp;$C$1)+COUNTIFS(개발일정표!$A:$A,$A$19,개발일정표!$B:$B,$B19,개발일정표!$H:$H,"&lt;&gt;삭제",개발일정표!$M:$M,"&lt;&gt;검수제외",개발일정표!$R:$R,"=L1",개발일정표!$S:$S,"=Y",개발일정표!$Q:$Q,"&lt;="&amp;$C$1)+COUNTIFS(개발일정표!$A:$A,$A$19,개발일정표!$B:$B,$B19,개발일정표!$H:$H,"&lt;&gt;삭제",개발일정표!$M:$M,"&lt;&gt;검수제외",개발일정표!$R:$R,"=L2",개발일정표!$S:$S,"=Y",개발일정표!$Q:$Q,"&lt;="&amp;$C$1)</f>
        <v>0</v>
      </c>
      <c r="M19" s="12">
        <f>COUNTIFS(개발일정표!$A:$A,$A$19,개발일정표!$B:$B,$B19,개발일정표!$H:$H,"&lt;&gt;삭제",개발일정표!$M:$M,"&lt;&gt;검수제외",개발일정표!$R:$R,"=L2")-COUNTIFS(개발일정표!$A:$A,$A$19,개발일정표!$B:$B,$B19,개발일정표!$H:$H,"&lt;&gt;삭제",개발일정표!$M:$M,"&lt;&gt;검수제외",개발일정표!$R:$R,"=L2",개발일정표!$S:$S,"=Y",개발일정표!$Q:$Q,"&lt;="&amp;$C$1)</f>
        <v>0</v>
      </c>
      <c r="N19" s="13">
        <f>K19-(L19+M19)</f>
        <v>0</v>
      </c>
      <c r="O19" s="12">
        <f>COUNTIFS(개발일정표!$A:$A,$A$19,개발일정표!$B:$B,$B19,개발일정표!$H:$H,"&lt;&gt;삭제",개발일정표!$M:$M,"&lt;&gt;검수제외",개발일정표!$R:$R,"=L1")-COUNTIFS(개발일정표!$A:$A,$A$19,개발일정표!$B:$B,$B19,개발일정표!$H:$H,"&lt;&gt;삭제",개발일정표!$M:$M,"&lt;&gt;검수제외",개발일정표!$R:$R,"=L1",개발일정표!$S:$S,"=Y",개발일정표!$Q:$Q,"&lt;="&amp;$C$1)</f>
        <v>0</v>
      </c>
      <c r="P19" s="14">
        <f>IF(K19=0, 0,(L19+M19)/K19)</f>
        <v>0</v>
      </c>
      <c r="Q19" s="14">
        <f>IF(C19=0,0,(L19+M19)/C19)</f>
        <v>0</v>
      </c>
      <c r="R19" s="12">
        <f>COUNTIFS(개발일정표!$A:$A,$A$19,개발일정표!$B:$B,$B19,개발일정표!$H:$H,"&lt;&gt;삭제",개발일정표!$T:$T,"&lt;&gt;검수제외")</f>
        <v>5</v>
      </c>
      <c r="S19" s="12">
        <f>COUNTIFS(개발일정표!$A:$A,$A$19,개발일정표!$B:$B,$B19,개발일정표!$H:$H,"&lt;&gt;삭제",개발일정표!$T:$T,"&lt;&gt;검수제외",개발일정표!$V:$V,"&lt;="&amp;$C$1)</f>
        <v>0</v>
      </c>
      <c r="T19" s="12">
        <f>COUNTIFS(개발일정표!$A:$A,$A$19,개발일정표!$B:$B,$B19,개발일정표!$H:$H,"&lt;&gt;삭제",개발일정표!$T:$T,"&lt;&gt;검수제외",개발일정표!$Y:$Y,"=L3",개발일정표!$X:$X,"&lt;="&amp;$C$1)+COUNTIFS(개발일정표!$A:$A,$A$19,개발일정표!$B:$B,$B19,개발일정표!$H:$H,"&lt;&gt;삭제",개발일정표!$T:$T,"&lt;&gt;검수제외",개발일정표!$Y:$Y,"=L1",개발일정표!$Z:$Z,"=Y",개발일정표!$X:$X,"&lt;="&amp;$C$1)+COUNTIFS(개발일정표!$A:$A,$A$19,개발일정표!$B:$B,$B19,개발일정표!$H:$H,"&lt;&gt;삭제",개발일정표!$T:$T,"&lt;&gt;검수제외",개발일정표!$Y:$Y,"=L2",개발일정표!$Z:$Z,"=Y",개발일정표!$X:$X,"&lt;="&amp;$C$1)</f>
        <v>0</v>
      </c>
      <c r="U19" s="12">
        <f>COUNTIFS(개발일정표!$A:$A,$A$19,개발일정표!$B:$B,$B19,개발일정표!$H:$H,"&lt;&gt;삭제",개발일정표!$T:$T,"&lt;&gt;검수제외",개발일정표!$Y:$Y,"=L2")-COUNTIFS(개발일정표!$A:$A,$A$19,개발일정표!$B:$B,$B19,개발일정표!$H:$H,"&lt;&gt;삭제",개발일정표!$T:$T,"&lt;&gt;검수제외",개발일정표!$Y:$Y,"=L2",개발일정표!$Z:$Z,"=Y",개발일정표!$X:$X,"&lt;="&amp;$C$1)</f>
        <v>0</v>
      </c>
      <c r="V19" s="59">
        <f>S19-(T19+U19)</f>
        <v>0</v>
      </c>
      <c r="W19" s="12">
        <f>COUNTIFS(개발일정표!$A:$A,$A$19,개발일정표!$B:$B,$B19,개발일정표!$H:$H,"&lt;&gt;삭제",개발일정표!$T:$T,"&lt;&gt;검수제외",개발일정표!$Y:$Y,"=L1")-COUNTIFS(개발일정표!$A:$A,$A$19,개발일정표!$B:$B,$B19,개발일정표!$H:$H,"&lt;&gt;삭제",개발일정표!$T:$T,"&lt;&gt;검수제외",개발일정표!$Y:$Y,"=L1",개발일정표!$Z:$Z,"=Y",개발일정표!$X:$X,"&lt;="&amp;$C$1)</f>
        <v>0</v>
      </c>
      <c r="X19" s="14">
        <f>IF(S19=0, 0,(T19+U19)/S19)</f>
        <v>0</v>
      </c>
      <c r="Y19" s="14">
        <f>IF(R19=0,0,(T19+U19)/R19)</f>
        <v>0</v>
      </c>
      <c r="Z19" s="12">
        <f>COUNTIFS(개발일정표!$A:$A,$A$19,개발일정표!$B:$B,$B19,개발일정표!$H:$H,"&lt;&gt;삭제",개발일정표!$AA:$AA,"&lt;&gt;검수제외")</f>
        <v>5</v>
      </c>
      <c r="AA19" s="12">
        <f>COUNTIFS(개발일정표!$A:$A,$A$19,개발일정표!$B:$B,$B19,개발일정표!$H:$H,"&lt;&gt;삭제",개발일정표!$AA:$AA,"&lt;&gt;검수제외",개발일정표!$AC:$AC,"&lt;="&amp;$C$1)</f>
        <v>0</v>
      </c>
      <c r="AB19" s="12">
        <f>COUNTIFS(개발일정표!$A:$A,$A$19,개발일정표!$B:$B,$B19,개발일정표!$H:$H,"&lt;&gt;삭제",개발일정표!$AA:$AA,"&lt;&gt;검수제외",개발일정표!$AF:$AF,"=L3",개발일정표!$AE:$AE,"&lt;="&amp;$C$1)+COUNTIFS(개발일정표!$A:$A,$A$19,개발일정표!$B:$B,$B19,개발일정표!$H:$H,"&lt;&gt;삭제",개발일정표!$AA:$AA,"&lt;&gt;검수제외",개발일정표!$AF:$AF,"=L1",개발일정표!$AG:$AG,"=Y",개발일정표!$AE:$AE,"&lt;="&amp;$C$1)+COUNTIFS(개발일정표!$A:$A,$A$19,개발일정표!$B:$B,$B19,개발일정표!$H:$H,"&lt;&gt;삭제",개발일정표!$AA:$AA,"&lt;&gt;검수제외",개발일정표!$AF:$AF,"=L2",개발일정표!$AG:$AG,"=Y",개발일정표!$AE:$AE,"&lt;="&amp;$C$1)</f>
        <v>0</v>
      </c>
      <c r="AC19" s="12">
        <f>COUNTIFS(개발일정표!$A:$A,$A$19,개발일정표!$B:$B,$B19,개발일정표!$H:$H,"&lt;&gt;삭제",개발일정표!$AA:$AA,"&lt;&gt;검수제외",개발일정표!$AF:$AF,"=L2")-COUNTIFS(개발일정표!$A:$A,$A$19,개발일정표!$B:$B,$B19,개발일정표!$H:$H,"&lt;&gt;삭제",개발일정표!$AA:$AA,"&lt;&gt;검수제외",개발일정표!$AF:$AF,"=L2",개발일정표!$AG:$AG,"=Y",개발일정표!$AE:$AE,"&lt;="&amp;$C$1)</f>
        <v>0</v>
      </c>
      <c r="AD19" s="59">
        <f>AA19-(AB19+AC19)</f>
        <v>0</v>
      </c>
      <c r="AE19" s="12">
        <f>COUNTIFS(개발일정표!$A:$A,$A$19,개발일정표!$B:$B,$B19,개발일정표!$H:$H,"&lt;&gt;삭제",개발일정표!$AA:$AA,"&lt;&gt;검수제외",개발일정표!$AF:$AF,"=L1")-COUNTIFS(개발일정표!$A:$A,$A$19,개발일정표!$B:$B,$B19,개발일정표!$H:$H,"&lt;&gt;삭제",개발일정표!$AA:$AA,"&lt;&gt;검수제외",개발일정표!$AF:$AF,"=L1",개발일정표!$AG:$AG,"=Y",개발일정표!$AE:$AE,"&lt;="&amp;$C$1)</f>
        <v>0</v>
      </c>
      <c r="AF19" s="14">
        <f>IF(AA19=0, 0,(AB19+AC19)/AA19)</f>
        <v>0</v>
      </c>
      <c r="AG19" s="14">
        <f>IF(Z19=0,0,(AB19+AC19)/Z19)</f>
        <v>0</v>
      </c>
      <c r="AH19" s="58">
        <f>COUNTIFS(개발일정표!$A:$A,$A$19,개발일정표!$B:$B,$B19,개발일정표!$H:$H,"&lt;&gt;삭제",개발일정표!$J:$J,"&lt;&gt;미정")</f>
        <v>4</v>
      </c>
      <c r="AI19" s="58">
        <f>COUNTIFS(개발일정표!$A:$A,$A$19,개발일정표!$B:$B,$B19,개발일정표!$H:$H,"&lt;&gt;삭제",개발일정표!$J:$J,"=미정")</f>
        <v>1</v>
      </c>
    </row>
    <row r="20" spans="1:35" ht="14.25" customHeight="1">
      <c r="A20" s="158"/>
      <c r="B20" s="15" t="s">
        <v>57</v>
      </c>
      <c r="C20" s="16">
        <f t="shared" ref="C20:H20" si="54">SUM(C19:C19)</f>
        <v>5</v>
      </c>
      <c r="D20" s="16">
        <f t="shared" si="54"/>
        <v>0</v>
      </c>
      <c r="E20" s="16">
        <f t="shared" si="54"/>
        <v>0</v>
      </c>
      <c r="F20" s="16">
        <f t="shared" si="54"/>
        <v>0</v>
      </c>
      <c r="G20" s="36">
        <f t="shared" si="54"/>
        <v>0</v>
      </c>
      <c r="H20" s="36">
        <f t="shared" si="54"/>
        <v>0</v>
      </c>
      <c r="I20" s="21">
        <f>IF(D20=0,0,E20/D20)</f>
        <v>0</v>
      </c>
      <c r="J20" s="21">
        <f>IF(C20=0,0,E20/C20)</f>
        <v>0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>IF(K20=0, 0,(L20+M20)/K20)</f>
        <v>0</v>
      </c>
      <c r="Q20" s="21">
        <f>IF(C20=0,0,(L20+M20)/C20)</f>
        <v>0</v>
      </c>
      <c r="R20" s="20">
        <f t="shared" ref="R20:W20" si="55">SUM(R19:R19)</f>
        <v>5</v>
      </c>
      <c r="S20" s="20">
        <f t="shared" si="55"/>
        <v>0</v>
      </c>
      <c r="T20" s="20">
        <f t="shared" si="55"/>
        <v>0</v>
      </c>
      <c r="U20" s="20">
        <f t="shared" si="55"/>
        <v>0</v>
      </c>
      <c r="V20" s="20">
        <f t="shared" si="55"/>
        <v>0</v>
      </c>
      <c r="W20" s="20">
        <f t="shared" si="55"/>
        <v>0</v>
      </c>
      <c r="X20" s="21">
        <f>IF(S20=0, 0,(T20+U20)/S20)</f>
        <v>0</v>
      </c>
      <c r="Y20" s="21">
        <f>IF(R20=0,0,(T20+U20)/R20)</f>
        <v>0</v>
      </c>
      <c r="Z20" s="20">
        <f t="shared" ref="Z20:AE20" si="56">SUM(Z19:Z19)</f>
        <v>5</v>
      </c>
      <c r="AA20" s="20">
        <f t="shared" si="56"/>
        <v>0</v>
      </c>
      <c r="AB20" s="20">
        <f t="shared" si="56"/>
        <v>0</v>
      </c>
      <c r="AC20" s="20">
        <f t="shared" si="56"/>
        <v>0</v>
      </c>
      <c r="AD20" s="20">
        <f t="shared" si="56"/>
        <v>0</v>
      </c>
      <c r="AE20" s="20">
        <f t="shared" si="56"/>
        <v>0</v>
      </c>
      <c r="AF20" s="21">
        <f>IF(AA20=0,0,(AB20+AC20)/AA20)</f>
        <v>0</v>
      </c>
      <c r="AG20" s="21">
        <f>IF(Z20=0,0,(AB20+AC20)/Z20)</f>
        <v>0</v>
      </c>
      <c r="AH20" s="61">
        <f t="shared" ref="AH20:AI20" si="57">SUM(AH19:AH19)</f>
        <v>4</v>
      </c>
      <c r="AI20" s="61">
        <f t="shared" si="57"/>
        <v>1</v>
      </c>
    </row>
    <row r="21" spans="1:35" ht="14.25" customHeight="1">
      <c r="A21" s="158" t="s">
        <v>432</v>
      </c>
      <c r="B21" s="11" t="s">
        <v>433</v>
      </c>
      <c r="C21" s="12">
        <f>COUNTIFS(개발일정표!$A:$A,$A$21,개발일정표!$B:$B,$B21,개발일정표!$H:$H,"&lt;&gt;삭제")</f>
        <v>30</v>
      </c>
      <c r="D21" s="12">
        <f>COUNTIFS(개발일정표!$A:$A,$A$21,개발일정표!$B:$B,$B21,개발일정표!$H:$H,"&lt;&gt;삭제",개발일정표!$J:$J,"&lt;="&amp;$C$1)</f>
        <v>0</v>
      </c>
      <c r="E21" s="12">
        <f>COUNTIFS(개발일정표!$A:$A,$A$21,개발일정표!$B:$B,$B21,개발일정표!$H:$H,"&lt;&gt;삭제",개발일정표!$L:$L,"&lt;="&amp;$C$1)</f>
        <v>0</v>
      </c>
      <c r="F21" s="13">
        <f t="shared" ref="F21:F22" si="58">D21-E21</f>
        <v>0</v>
      </c>
      <c r="G21" s="35">
        <f>COUNTIFS(개발일정표!$A:$A,$A$21,개발일정표!$B:$B,$B21,개발일정표!$H:$H,"&lt;&gt;삭제",개발일정표!$K:$K,"&lt;="&amp;$C$1,개발일정표!$L:$L,"")</f>
        <v>0</v>
      </c>
      <c r="H21" s="35">
        <f>COUNTIFS(개발일정표!$A:$A,$A$21,개발일정표!$B:$B,$B21,개발일정표!$H:$H,"&lt;&gt;삭제",개발일정표!$J:$J,"="&amp;$C$1)</f>
        <v>0</v>
      </c>
      <c r="I21" s="14">
        <f>IF(D21=0,0,E21/D21)</f>
        <v>0</v>
      </c>
      <c r="J21" s="14">
        <f>IF(C21=0,0,E21/C21)</f>
        <v>0</v>
      </c>
      <c r="K21" s="12">
        <f>COUNTIFS(개발일정표!$A:$A,$A$21,개발일정표!$B:$B,$B21,개발일정표!$H:$H,"&lt;&gt;삭제",개발일정표!$M:$M,"&lt;&gt;검수제외",개발일정표!$O:$O,"&lt;="&amp;$C$1)</f>
        <v>0</v>
      </c>
      <c r="L21" s="12">
        <f>COUNTIFS(개발일정표!$A:$A,$A$21,개발일정표!$B:$B,$B21,개발일정표!$H:$H,"&lt;&gt;삭제",개발일정표!$M:$M,"&lt;&gt;검수제외",개발일정표!$R:$R,"=L3",개발일정표!$Q:$Q,"&lt;="&amp;$C$1)+COUNTIFS(개발일정표!$A:$A,$A$21,개발일정표!$B:$B,$B21,개발일정표!$H:$H,"&lt;&gt;삭제",개발일정표!$M:$M,"&lt;&gt;검수제외",개발일정표!$R:$R,"=L1",개발일정표!$S:$S,"=Y",개발일정표!$Q:$Q,"&lt;="&amp;$C$1)+COUNTIFS(개발일정표!$A:$A,$A$21,개발일정표!$B:$B,$B21,개발일정표!$H:$H,"&lt;&gt;삭제",개발일정표!$M:$M,"&lt;&gt;검수제외",개발일정표!$R:$R,"=L2",개발일정표!$S:$S,"=Y",개발일정표!$Q:$Q,"&lt;="&amp;$C$1)</f>
        <v>0</v>
      </c>
      <c r="M21" s="12">
        <f>COUNTIFS(개발일정표!$A:$A,$A$21,개발일정표!$B:$B,$B21,개발일정표!$H:$H,"&lt;&gt;삭제",개발일정표!$M:$M,"&lt;&gt;검수제외",개발일정표!$R:$R,"=L2")-COUNTIFS(개발일정표!$A:$A,$A$21,개발일정표!$B:$B,$B21,개발일정표!$H:$H,"&lt;&gt;삭제",개발일정표!$M:$M,"&lt;&gt;검수제외",개발일정표!$R:$R,"=L2",개발일정표!$S:$S,"=Y",개발일정표!$Q:$Q,"&lt;="&amp;$C$1)</f>
        <v>0</v>
      </c>
      <c r="N21" s="13">
        <f>K21-(L21+M21)</f>
        <v>0</v>
      </c>
      <c r="O21" s="12">
        <f>COUNTIFS(개발일정표!$A:$A,$A$21,개발일정표!$B:$B,$B21,개발일정표!$H:$H,"&lt;&gt;삭제",개발일정표!$M:$M,"&lt;&gt;검수제외",개발일정표!$R:$R,"=L1")-COUNTIFS(개발일정표!$A:$A,$A$21,개발일정표!$B:$B,$B21,개발일정표!$H:$H,"&lt;&gt;삭제",개발일정표!$M:$M,"&lt;&gt;검수제외",개발일정표!$R:$R,"=L1",개발일정표!$S:$S,"=Y",개발일정표!$Q:$Q,"&lt;="&amp;$C$1)</f>
        <v>0</v>
      </c>
      <c r="P21" s="14">
        <f>IF(K21=0, 0,(L21+M21)/K21)</f>
        <v>0</v>
      </c>
      <c r="Q21" s="14">
        <f>IF(C21=0,0,(L21+M21)/C21)</f>
        <v>0</v>
      </c>
      <c r="R21" s="12">
        <f>COUNTIFS(개발일정표!$A:$A,$A$21,개발일정표!$B:$B,$B21,개발일정표!$H:$H,"&lt;&gt;삭제",개발일정표!$T:$T,"&lt;&gt;검수제외")</f>
        <v>30</v>
      </c>
      <c r="S21" s="12">
        <f>COUNTIFS(개발일정표!$A:$A,$A$21,개발일정표!$B:$B,$B21,개발일정표!$H:$H,"&lt;&gt;삭제",개발일정표!$T:$T,"&lt;&gt;검수제외",개발일정표!$V:$V,"&lt;="&amp;$C$1)</f>
        <v>0</v>
      </c>
      <c r="T21" s="12">
        <f>COUNTIFS(개발일정표!$A:$A,$A$21,개발일정표!$B:$B,$B21,개발일정표!$H:$H,"&lt;&gt;삭제",개발일정표!$T:$T,"&lt;&gt;검수제외",개발일정표!$Y:$Y,"=L3",개발일정표!$X:$X,"&lt;="&amp;$C$1)+COUNTIFS(개발일정표!$A:$A,$A$21,개발일정표!$B:$B,$B21,개발일정표!$H:$H,"&lt;&gt;삭제",개발일정표!$T:$T,"&lt;&gt;검수제외",개발일정표!$Y:$Y,"=L1",개발일정표!$Z:$Z,"=Y",개발일정표!$X:$X,"&lt;="&amp;$C$1)+COUNTIFS(개발일정표!$A:$A,$A$21,개발일정표!$B:$B,$B21,개발일정표!$H:$H,"&lt;&gt;삭제",개발일정표!$T:$T,"&lt;&gt;검수제외",개발일정표!$Y:$Y,"=L2",개발일정표!$Z:$Z,"=Y",개발일정표!$X:$X,"&lt;="&amp;$C$1)</f>
        <v>0</v>
      </c>
      <c r="U21" s="12">
        <f>COUNTIFS(개발일정표!$A:$A,$A$21,개발일정표!$B:$B,$B21,개발일정표!$H:$H,"&lt;&gt;삭제",개발일정표!$T:$T,"&lt;&gt;검수제외",개발일정표!$Y:$Y,"=L2")-COUNTIFS(개발일정표!$A:$A,$A$21,개발일정표!$B:$B,$B21,개발일정표!$H:$H,"&lt;&gt;삭제",개발일정표!$T:$T,"&lt;&gt;검수제외",개발일정표!$Y:$Y,"=L2",개발일정표!$Z:$Z,"=Y",개발일정표!$X:$X,"&lt;="&amp;$C$1)</f>
        <v>0</v>
      </c>
      <c r="V21" s="13">
        <f>S21-(T21+U21)</f>
        <v>0</v>
      </c>
      <c r="W21" s="12">
        <f>COUNTIFS(개발일정표!$A:$A,$A$21,개발일정표!$B:$B,$B21,개발일정표!$H:$H,"&lt;&gt;삭제",개발일정표!$T:$T,"&lt;&gt;검수제외",개발일정표!$Y:$Y,"=L1")-COUNTIFS(개발일정표!$A:$A,$A$21,개발일정표!$B:$B,$B21,개발일정표!$H:$H,"&lt;&gt;삭제",개발일정표!$T:$T,"&lt;&gt;검수제외",개발일정표!$Y:$Y,"=L1",개발일정표!$Z:$Z,"=Y",개발일정표!$X:$X,"&lt;="&amp;$C$1)</f>
        <v>0</v>
      </c>
      <c r="X21" s="14">
        <f>IF(S21=0, 0,(T21+U21)/S21)</f>
        <v>0</v>
      </c>
      <c r="Y21" s="14">
        <f>IF(R21=0,0,(T21+U21)/R21)</f>
        <v>0</v>
      </c>
      <c r="Z21" s="12">
        <f>COUNTIFS(개발일정표!$A:$A,$A$21,개발일정표!$B:$B,$B21,개발일정표!$H:$H,"&lt;&gt;삭제",개발일정표!$AA:$AA,"&lt;&gt;검수제외")</f>
        <v>30</v>
      </c>
      <c r="AA21" s="12">
        <f>COUNTIFS(개발일정표!$A:$A,$A$21,개발일정표!$B:$B,$B21,개발일정표!$H:$H,"&lt;&gt;삭제",개발일정표!$AA:$AA,"&lt;&gt;검수제외",개발일정표!$AC:$AC,"&lt;="&amp;$C$1)</f>
        <v>0</v>
      </c>
      <c r="AB21" s="12">
        <f>COUNTIFS(개발일정표!$A:$A,$A$21,개발일정표!$B:$B,$B21,개발일정표!$H:$H,"&lt;&gt;삭제",개발일정표!$AA:$AA,"&lt;&gt;검수제외",개발일정표!$AF:$AF,"=L3",개발일정표!$AE:$AE,"&lt;="&amp;$C$1)+COUNTIFS(개발일정표!$A:$A,$A$21,개발일정표!$B:$B,$B21,개발일정표!$H:$H,"&lt;&gt;삭제",개발일정표!$AA:$AA,"&lt;&gt;검수제외",개발일정표!$AF:$AF,"=L1",개발일정표!$AG:$AG,"=Y",개발일정표!$AE:$AE,"&lt;="&amp;$C$1)+COUNTIFS(개발일정표!$A:$A,$A$21,개발일정표!$B:$B,$B21,개발일정표!$H:$H,"&lt;&gt;삭제",개발일정표!$AA:$AA,"&lt;&gt;검수제외",개발일정표!$AF:$AF,"=L2",개발일정표!$AG:$AG,"=Y",개발일정표!$AE:$AE,"&lt;="&amp;$C$1)</f>
        <v>0</v>
      </c>
      <c r="AC21" s="12">
        <f>COUNTIFS(개발일정표!$A:$A,$A$21,개발일정표!$B:$B,$B21,개발일정표!$H:$H,"&lt;&gt;삭제",개발일정표!$AA:$AA,"&lt;&gt;검수제외",개발일정표!$AF:$AF,"=L2")-COUNTIFS(개발일정표!$A:$A,$A$21,개발일정표!$B:$B,$B21,개발일정표!$H:$H,"&lt;&gt;삭제",개발일정표!$AA:$AA,"&lt;&gt;검수제외",개발일정표!$AF:$AF,"=L2",개발일정표!$AG:$AG,"=Y",개발일정표!$AE:$AE,"&lt;="&amp;$C$1)</f>
        <v>0</v>
      </c>
      <c r="AD21" s="59">
        <f>AA21-(AB21+AC21)</f>
        <v>0</v>
      </c>
      <c r="AE21" s="12">
        <f>COUNTIFS(개발일정표!$A:$A,$A$21,개발일정표!$B:$B,$B21,개발일정표!$H:$H,"&lt;&gt;삭제",개발일정표!$AA:$AA,"&lt;&gt;검수제외",개발일정표!$AF:$AF,"=L1")-COUNTIFS(개발일정표!$A:$A,$A$21,개발일정표!$B:$B,$B21,개발일정표!$H:$H,"&lt;&gt;삭제",개발일정표!$AA:$AA,"&lt;&gt;검수제외",개발일정표!$AF:$AF,"=L1",개발일정표!$AG:$AG,"=Y",개발일정표!$AE:$AE,"&lt;="&amp;$C$1)</f>
        <v>0</v>
      </c>
      <c r="AF21" s="14">
        <f>IF(AA21=0, 0,(AB21+AC21)/AA21)</f>
        <v>0</v>
      </c>
      <c r="AG21" s="14">
        <f>IF(Z21=0,0,(AB21+AC21)/Z21)</f>
        <v>0</v>
      </c>
      <c r="AH21" s="58">
        <f>COUNTIFS(개발일정표!$A:$A,$A$21,개발일정표!$B:$B,$B21,개발일정표!$H:$H,"&lt;&gt;삭제",개발일정표!$J:$J,"&lt;&gt;미정")</f>
        <v>21</v>
      </c>
      <c r="AI21" s="58">
        <f>COUNTIFS(개발일정표!$A:$A,$A$21,개발일정표!$B:$B,$B21,개발일정표!$H:$H,"&lt;&gt;삭제",개발일정표!$J:$J,"=미정")</f>
        <v>9</v>
      </c>
    </row>
    <row r="22" spans="1:35" ht="14.25" customHeight="1">
      <c r="A22" s="158"/>
      <c r="B22" s="11" t="s">
        <v>434</v>
      </c>
      <c r="C22" s="12">
        <f>COUNTIFS(개발일정표!$A:$A,$A$21,개발일정표!$B:$B,$B22,개발일정표!$H:$H,"&lt;&gt;삭제")</f>
        <v>11</v>
      </c>
      <c r="D22" s="12">
        <f>COUNTIFS(개발일정표!$A:$A,$A$21,개발일정표!$B:$B,$B22,개발일정표!$H:$H,"&lt;&gt;삭제",개발일정표!$J:$J,"&lt;="&amp;$C$1)</f>
        <v>0</v>
      </c>
      <c r="E22" s="12">
        <f>COUNTIFS(개발일정표!$A:$A,$A$21,개발일정표!$B:$B,$B22,개발일정표!$H:$H,"&lt;&gt;삭제",개발일정표!$L:$L,"&lt;="&amp;$C$1)</f>
        <v>0</v>
      </c>
      <c r="F22" s="13">
        <f t="shared" si="58"/>
        <v>0</v>
      </c>
      <c r="G22" s="35">
        <f>COUNTIFS(개발일정표!$A:$A,$A$21,개발일정표!$B:$B,$B22,개발일정표!$H:$H,"&lt;&gt;삭제",개발일정표!$K:$K,"&lt;="&amp;$C$1,개발일정표!$L:$L,"")</f>
        <v>0</v>
      </c>
      <c r="H22" s="35">
        <f>COUNTIFS(개발일정표!$A:$A,$A$21,개발일정표!$B:$B,$B22,개발일정표!$H:$H,"&lt;&gt;삭제",개발일정표!$J:$J,"="&amp;$C$1)</f>
        <v>0</v>
      </c>
      <c r="I22" s="14">
        <f t="shared" ref="I22:I23" si="59">IF(D22=0,0,E22/D22)</f>
        <v>0</v>
      </c>
      <c r="J22" s="14">
        <f t="shared" ref="J22:J23" si="60">IF(C22=0,0,E22/C22)</f>
        <v>0</v>
      </c>
      <c r="K22" s="12">
        <f>COUNTIFS(개발일정표!$A:$A,$A$21,개발일정표!$B:$B,$B22,개발일정표!$H:$H,"&lt;&gt;삭제",개발일정표!$M:$M,"&lt;&gt;검수제외",개발일정표!$O:$O,"&lt;="&amp;$C$1)</f>
        <v>0</v>
      </c>
      <c r="L22" s="58">
        <f>COUNTIFS(개발일정표!$A:$A,$A$21,개발일정표!$B:$B,$B22,개발일정표!$H:$H,"&lt;&gt;삭제",개발일정표!$M:$M,"&lt;&gt;검수제외",개발일정표!$R:$R,"=L3",개발일정표!$Q:$Q,"&lt;="&amp;$C$1)+COUNTIFS(개발일정표!$A:$A,$A$21,개발일정표!$B:$B,$B22,개발일정표!$H:$H,"&lt;&gt;삭제",개발일정표!$M:$M,"&lt;&gt;검수제외",개발일정표!$R:$R,"=L1",개발일정표!$S:$S,"=Y",개발일정표!$Q:$Q,"&lt;="&amp;$C$1)+COUNTIFS(개발일정표!$A:$A,$A$21,개발일정표!$B:$B,$B22,개발일정표!$H:$H,"&lt;&gt;삭제",개발일정표!$M:$M,"&lt;&gt;검수제외",개발일정표!$R:$R,"=L2",개발일정표!$S:$S,"=Y",개발일정표!$Q:$Q,"&lt;="&amp;$C$1)</f>
        <v>0</v>
      </c>
      <c r="M22" s="58">
        <f>COUNTIFS(개발일정표!$A:$A,$A$21,개발일정표!$B:$B,$B22,개발일정표!$H:$H,"&lt;&gt;삭제",개발일정표!$M:$M,"&lt;&gt;검수제외",개발일정표!$R:$R,"=L2")-COUNTIFS(개발일정표!$A:$A,$A$21,개발일정표!$B:$B,$B22,개발일정표!$H:$H,"&lt;&gt;삭제",개발일정표!$M:$M,"&lt;&gt;검수제외",개발일정표!$R:$R,"=L2",개발일정표!$S:$S,"=Y",개발일정표!$Q:$Q,"&lt;="&amp;$C$1)</f>
        <v>0</v>
      </c>
      <c r="N22" s="13">
        <f t="shared" ref="N22" si="61">K22-(L22+M22)</f>
        <v>0</v>
      </c>
      <c r="O22" s="58">
        <f>COUNTIFS(개발일정표!$A:$A,$A$21,개발일정표!$B:$B,$B22,개발일정표!$H:$H,"&lt;&gt;삭제",개발일정표!$M:$M,"&lt;&gt;검수제외",개발일정표!$R:$R,"=L1")-COUNTIFS(개발일정표!$A:$A,$A$21,개발일정표!$B:$B,$B22,개발일정표!$H:$H,"&lt;&gt;삭제",개발일정표!$M:$M,"&lt;&gt;검수제외",개발일정표!$R:$R,"=L1",개발일정표!$S:$S,"=Y",개발일정표!$Q:$Q,"&lt;="&amp;$C$1)</f>
        <v>0</v>
      </c>
      <c r="P22" s="14">
        <f t="shared" ref="P22:P23" si="62">IF(K22=0, 0,(L22+M22)/K22)</f>
        <v>0</v>
      </c>
      <c r="Q22" s="14">
        <f t="shared" ref="Q22:Q23" si="63">IF(C22=0,0,(L22+M22)/C22)</f>
        <v>0</v>
      </c>
      <c r="R22" s="12">
        <f>COUNTIFS(개발일정표!$A:$A,$A$21,개발일정표!$B:$B,$B22,개발일정표!$H:$H,"&lt;&gt;삭제",개발일정표!$T:$T,"&lt;&gt;검수제외")</f>
        <v>11</v>
      </c>
      <c r="S22" s="45">
        <f>COUNTIFS(개발일정표!$A:$A,$A$21,개발일정표!$B:$B,$B22,개발일정표!$H:$H,"&lt;&gt;삭제",개발일정표!$T:$T,"&lt;&gt;검수제외",개발일정표!$V:$V,"&lt;="&amp;$C$1)</f>
        <v>0</v>
      </c>
      <c r="T22" s="58">
        <f>COUNTIFS(개발일정표!$A:$A,$A$21,개발일정표!$B:$B,$B22,개발일정표!$H:$H,"&lt;&gt;삭제",개발일정표!$T:$T,"&lt;&gt;검수제외",개발일정표!$Y:$Y,"=L3",개발일정표!$X:$X,"&lt;="&amp;$C$1)+COUNTIFS(개발일정표!$A:$A,$A$21,개발일정표!$B:$B,$B22,개발일정표!$H:$H,"&lt;&gt;삭제",개발일정표!$T:$T,"&lt;&gt;검수제외",개발일정표!$Y:$Y,"=L1",개발일정표!$Z:$Z,"=Y",개발일정표!$X:$X,"&lt;="&amp;$C$1)+COUNTIFS(개발일정표!$A:$A,$A$21,개발일정표!$B:$B,$B22,개발일정표!$H:$H,"&lt;&gt;삭제",개발일정표!$T:$T,"&lt;&gt;검수제외",개발일정표!$Y:$Y,"=L2",개발일정표!$Z:$Z,"=Y",개발일정표!$X:$X,"&lt;="&amp;$C$1)</f>
        <v>0</v>
      </c>
      <c r="U22" s="58">
        <f>COUNTIFS(개발일정표!$A:$A,$A$21,개발일정표!$B:$B,$B22,개발일정표!$H:$H,"&lt;&gt;삭제",개발일정표!$T:$T,"&lt;&gt;검수제외",개발일정표!$Y:$Y,"=L2")-COUNTIFS(개발일정표!$A:$A,$A$21,개발일정표!$B:$B,$B22,개발일정표!$H:$H,"&lt;&gt;삭제",개발일정표!$T:$T,"&lt;&gt;검수제외",개발일정표!$Y:$Y,"=L2",개발일정표!$Z:$Z,"=Y",개발일정표!$X:$X,"&lt;="&amp;$C$1)</f>
        <v>0</v>
      </c>
      <c r="V22" s="13">
        <f t="shared" ref="V22" si="64">S22-(T22+U22)</f>
        <v>0</v>
      </c>
      <c r="W22" s="58">
        <f>COUNTIFS(개발일정표!$A:$A,$A$21,개발일정표!$B:$B,$B22,개발일정표!$H:$H,"&lt;&gt;삭제",개발일정표!$T:$T,"&lt;&gt;검수제외",개발일정표!$Y:$Y,"=L1")-COUNTIFS(개발일정표!$A:$A,$A$21,개발일정표!$B:$B,$B22,개발일정표!$H:$H,"&lt;&gt;삭제",개발일정표!$T:$T,"&lt;&gt;검수제외",개발일정표!$Y:$Y,"=L1",개발일정표!$Z:$Z,"=Y",개발일정표!$X:$X,"&lt;="&amp;$C$1)</f>
        <v>0</v>
      </c>
      <c r="X22" s="14">
        <f t="shared" ref="X22:X23" si="65">IF(S22=0, 0,(T22+U22)/S22)</f>
        <v>0</v>
      </c>
      <c r="Y22" s="14">
        <f t="shared" ref="Y22:Y23" si="66">IF(R22=0,0,(T22+U22)/R22)</f>
        <v>0</v>
      </c>
      <c r="Z22" s="12">
        <f>COUNTIFS(개발일정표!$A:$A,$A$21,개발일정표!$B:$B,$B22,개발일정표!$H:$H,"&lt;&gt;삭제",개발일정표!$AA:$AA,"&lt;&gt;검수제외")</f>
        <v>11</v>
      </c>
      <c r="AA22" s="45">
        <f>COUNTIFS(개발일정표!$A:$A,$A$21,개발일정표!$B:$B,$B22,개발일정표!$H:$H,"&lt;&gt;삭제",개발일정표!$AA:$AA,"&lt;&gt;검수제외",개발일정표!$AC:$AC,"&lt;="&amp;$C$1)</f>
        <v>0</v>
      </c>
      <c r="AB22" s="58">
        <f>COUNTIFS(개발일정표!$A:$A,$A$21,개발일정표!$B:$B,$B22,개발일정표!$H:$H,"&lt;&gt;삭제",개발일정표!$AA:$AA,"&lt;&gt;검수제외",개발일정표!$AF:$AF,"=L3",개발일정표!$AE:$AE,"&lt;="&amp;$C$1)+COUNTIFS(개발일정표!$A:$A,$A$21,개발일정표!$B:$B,$B22,개발일정표!$H:$H,"&lt;&gt;삭제",개발일정표!$AA:$AA,"&lt;&gt;검수제외",개발일정표!$AF:$AF,"=L1",개발일정표!$AG:$AG,"=Y",개발일정표!$AE:$AE,"&lt;="&amp;$C$1)+COUNTIFS(개발일정표!$A:$A,$A$21,개발일정표!$B:$B,$B22,개발일정표!$H:$H,"&lt;&gt;삭제",개발일정표!$AA:$AA,"&lt;&gt;검수제외",개발일정표!$AF:$AF,"=L2",개발일정표!$AG:$AG,"=Y",개발일정표!$AE:$AE,"&lt;="&amp;$C$1)</f>
        <v>0</v>
      </c>
      <c r="AC22" s="58">
        <f>COUNTIFS(개발일정표!$A:$A,$A$21,개발일정표!$B:$B,$B22,개발일정표!$H:$H,"&lt;&gt;삭제",개발일정표!$AA:$AA,"&lt;&gt;검수제외",개발일정표!$AF:$AF,"=L2")-COUNTIFS(개발일정표!$A:$A,$A$21,개발일정표!$B:$B,$B22,개발일정표!$H:$H,"&lt;&gt;삭제",개발일정표!$AA:$AA,"&lt;&gt;검수제외",개발일정표!$AF:$AF,"=L2",개발일정표!$AG:$AG,"=Y",개발일정표!$AE:$AE,"&lt;="&amp;$C$1)</f>
        <v>0</v>
      </c>
      <c r="AD22" s="59">
        <f t="shared" ref="AD22" si="67">AA22-(AB22+AC22)</f>
        <v>0</v>
      </c>
      <c r="AE22" s="58">
        <f>COUNTIFS(개발일정표!$A:$A,$A$21,개발일정표!$B:$B,$B22,개발일정표!$H:$H,"&lt;&gt;삭제",개발일정표!$AA:$AA,"&lt;&gt;검수제외",개발일정표!$AF:$AF,"=L1")-COUNTIFS(개발일정표!$A:$A,$A$21,개발일정표!$B:$B,$B22,개발일정표!$H:$H,"&lt;&gt;삭제",개발일정표!$AA:$AA,"&lt;&gt;검수제외",개발일정표!$AF:$AF,"=L1",개발일정표!$AG:$AG,"=Y",개발일정표!$AE:$AE,"&lt;="&amp;$C$1)</f>
        <v>0</v>
      </c>
      <c r="AF22" s="14">
        <f t="shared" ref="AF22" si="68">IF(AA22=0, 0,(AB22+AC22)/AA22)</f>
        <v>0</v>
      </c>
      <c r="AG22" s="14">
        <f t="shared" ref="AG22:AG23" si="69">IF(Z22=0,0,(AB22+AC22)/Z22)</f>
        <v>0</v>
      </c>
      <c r="AH22" s="58">
        <f>COUNTIFS(개발일정표!$A:$A,$A$21,개발일정표!$B:$B,$B22,개발일정표!$H:$H,"&lt;&gt;삭제",개발일정표!$J:$J,"&lt;&gt;미정")</f>
        <v>5</v>
      </c>
      <c r="AI22" s="58">
        <f>COUNTIFS(개발일정표!$A:$A,$A$21,개발일정표!$B:$B,$B22,개발일정표!$H:$H,"&lt;&gt;삭제",개발일정표!$J:$J,"=미정")</f>
        <v>6</v>
      </c>
    </row>
    <row r="23" spans="1:35" ht="14.25" customHeight="1">
      <c r="A23" s="158"/>
      <c r="B23" s="15" t="s">
        <v>57</v>
      </c>
      <c r="C23" s="16">
        <f t="shared" ref="C23:H23" si="70">SUM(C21:C22)</f>
        <v>41</v>
      </c>
      <c r="D23" s="16">
        <f t="shared" si="70"/>
        <v>0</v>
      </c>
      <c r="E23" s="16">
        <f t="shared" si="70"/>
        <v>0</v>
      </c>
      <c r="F23" s="16">
        <f t="shared" si="70"/>
        <v>0</v>
      </c>
      <c r="G23" s="36">
        <f t="shared" si="70"/>
        <v>0</v>
      </c>
      <c r="H23" s="36">
        <f t="shared" si="70"/>
        <v>0</v>
      </c>
      <c r="I23" s="21">
        <f t="shared" si="59"/>
        <v>0</v>
      </c>
      <c r="J23" s="21">
        <f t="shared" si="60"/>
        <v>0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62"/>
        <v>0</v>
      </c>
      <c r="Q23" s="21">
        <f t="shared" si="63"/>
        <v>0</v>
      </c>
      <c r="R23" s="20">
        <f t="shared" ref="R23:W23" si="71">SUM(R21:R22)</f>
        <v>41</v>
      </c>
      <c r="S23" s="20">
        <f t="shared" si="71"/>
        <v>0</v>
      </c>
      <c r="T23" s="20">
        <f t="shared" si="71"/>
        <v>0</v>
      </c>
      <c r="U23" s="20">
        <f t="shared" si="71"/>
        <v>0</v>
      </c>
      <c r="V23" s="20">
        <f t="shared" si="71"/>
        <v>0</v>
      </c>
      <c r="W23" s="20">
        <f t="shared" si="71"/>
        <v>0</v>
      </c>
      <c r="X23" s="21">
        <f t="shared" si="65"/>
        <v>0</v>
      </c>
      <c r="Y23" s="21">
        <f t="shared" si="66"/>
        <v>0</v>
      </c>
      <c r="Z23" s="20">
        <f t="shared" ref="Z23:AE23" si="72">SUM(Z21:Z22)</f>
        <v>41</v>
      </c>
      <c r="AA23" s="20">
        <f t="shared" si="72"/>
        <v>0</v>
      </c>
      <c r="AB23" s="20">
        <f t="shared" si="72"/>
        <v>0</v>
      </c>
      <c r="AC23" s="20">
        <f t="shared" si="72"/>
        <v>0</v>
      </c>
      <c r="AD23" s="20">
        <f t="shared" si="72"/>
        <v>0</v>
      </c>
      <c r="AE23" s="20">
        <f t="shared" si="72"/>
        <v>0</v>
      </c>
      <c r="AF23" s="21">
        <f>IF(AA23=0,0,(AB23+AC23)/AA23)</f>
        <v>0</v>
      </c>
      <c r="AG23" s="21">
        <f t="shared" si="69"/>
        <v>0</v>
      </c>
      <c r="AH23" s="61">
        <f t="shared" ref="AH23:AI23" si="73">SUM(AH21:AH22)</f>
        <v>26</v>
      </c>
      <c r="AI23" s="61">
        <f t="shared" si="73"/>
        <v>15</v>
      </c>
    </row>
    <row r="24" spans="1:35" s="56" customFormat="1" ht="14.25" customHeight="1">
      <c r="A24" s="158" t="s">
        <v>435</v>
      </c>
      <c r="B24" s="75" t="s">
        <v>436</v>
      </c>
      <c r="C24" s="58">
        <f>COUNTIFS(개발일정표!$A:$A,$A$24,개발일정표!$B:$B,$B24,개발일정표!$H:$H,"&lt;&gt;삭제")</f>
        <v>8</v>
      </c>
      <c r="D24" s="58">
        <f>COUNTIFS(개발일정표!$A:$A,$A$24,개발일정표!$B:$B,$B24,개발일정표!$H:$H,"&lt;&gt;삭제",개발일정표!$J:$J,"&lt;="&amp;$C$1)</f>
        <v>0</v>
      </c>
      <c r="E24" s="58">
        <f>COUNTIFS(개발일정표!$A:$A,$A$24,개발일정표!$B:$B,$B24,개발일정표!$H:$H,"&lt;&gt;삭제",개발일정표!$L:$L,"&lt;="&amp;$C$1)</f>
        <v>0</v>
      </c>
      <c r="F24" s="59">
        <f>D24-E24</f>
        <v>0</v>
      </c>
      <c r="G24" s="59">
        <f>COUNTIFS(개발일정표!$A:$A,$A$24,개발일정표!$B:$B,$B24,개발일정표!$H:$H,"&lt;&gt;삭제",개발일정표!$K:$K,"&lt;="&amp;$C$1,개발일정표!$L:$L,"")</f>
        <v>0</v>
      </c>
      <c r="H24" s="59">
        <f>COUNTIFS(개발일정표!$A:$A,$A$24,개발일정표!$B:$B,$B24,개발일정표!$H:$H,"&lt;&gt;삭제",개발일정표!$J:$J,"="&amp;$C$1)</f>
        <v>0</v>
      </c>
      <c r="I24" s="60">
        <f>IF(D24=0,0,E24/D24)</f>
        <v>0</v>
      </c>
      <c r="J24" s="60">
        <f>IF(C24=0,0,E24/C24)</f>
        <v>0</v>
      </c>
      <c r="K24" s="58">
        <f>COUNTIFS(개발일정표!$A:$A,$A$24,개발일정표!$B:$B,$B24,개발일정표!$H:$H,"&lt;&gt;삭제",개발일정표!$M:$M,"&lt;&gt;검수제외",개발일정표!$O:$O,"&lt;="&amp;$C$1)</f>
        <v>0</v>
      </c>
      <c r="L24" s="58">
        <f>COUNTIFS(개발일정표!$A:$A,$A$24,개발일정표!$B:$B,$B24,개발일정표!$H:$H,"&lt;&gt;삭제",개발일정표!$M:$M,"&lt;&gt;검수제외",개발일정표!$R:$R,"=L3",개발일정표!$Q:$Q,"&lt;="&amp;$C$1)+COUNTIFS(개발일정표!$A:$A,$A$24,개발일정표!$B:$B,$B24,개발일정표!$H:$H,"&lt;&gt;삭제",개발일정표!$M:$M,"&lt;&gt;검수제외",개발일정표!$R:$R,"=L1",개발일정표!$S:$S,"=Y",개발일정표!$Q:$Q,"&lt;="&amp;$C$1)+COUNTIFS(개발일정표!$A:$A,$A$24,개발일정표!$B:$B,$B24,개발일정표!$H:$H,"&lt;&gt;삭제",개발일정표!$M:$M,"&lt;&gt;검수제외",개발일정표!$R:$R,"=L2",개발일정표!$S:$S,"=Y",개발일정표!$Q:$Q,"&lt;="&amp;$C$1)</f>
        <v>0</v>
      </c>
      <c r="M24" s="58">
        <f>COUNTIFS(개발일정표!$A:$A,$A$24,개발일정표!$B:$B,$B24,개발일정표!$H:$H,"&lt;&gt;삭제",개발일정표!$M:$M,"&lt;&gt;검수제외",개발일정표!$R:$R,"=L2")-COUNTIFS(개발일정표!$A:$A,$A$24,개발일정표!$B:$B,$B24,개발일정표!$H:$H,"&lt;&gt;삭제",개발일정표!$M:$M,"&lt;&gt;검수제외",개발일정표!$R:$R,"=L2",개발일정표!$S:$S,"=Y",개발일정표!$Q:$Q,"&lt;="&amp;$C$1)</f>
        <v>0</v>
      </c>
      <c r="N24" s="59">
        <f>K24-(L24+M24)</f>
        <v>0</v>
      </c>
      <c r="O24" s="58">
        <f>COUNTIFS(개발일정표!$A:$A,$A$24,개발일정표!$B:$B,$B24,개발일정표!$H:$H,"&lt;&gt;삭제",개발일정표!$M:$M,"&lt;&gt;검수제외",개발일정표!$R:$R,"=L1")-COUNTIFS(개발일정표!$A:$A,$A$24,개발일정표!$B:$B,$B24,개발일정표!$H:$H,"&lt;&gt;삭제",개발일정표!$M:$M,"&lt;&gt;검수제외",개발일정표!$R:$R,"=L1",개발일정표!$S:$S,"=Y",개발일정표!$Q:$Q,"&lt;="&amp;$C$1)</f>
        <v>0</v>
      </c>
      <c r="P24" s="60">
        <f>IF(K24=0, 0,(L24+M24)/K24)</f>
        <v>0</v>
      </c>
      <c r="Q24" s="60">
        <f>IF(C24=0,0,(L24+M24)/C24)</f>
        <v>0</v>
      </c>
      <c r="R24" s="58">
        <f>COUNTIFS(개발일정표!$A:$A,$A$24,개발일정표!$B:$B,$B24,개발일정표!$H:$H,"&lt;&gt;삭제",개발일정표!$T:$T,"&lt;&gt;검수제외")</f>
        <v>8</v>
      </c>
      <c r="S24" s="58">
        <f>COUNTIFS(개발일정표!$A:$A,$A$24,개발일정표!$B:$B,$B24,개발일정표!$H:$H,"&lt;&gt;삭제",개발일정표!$T:$T,"&lt;&gt;검수제외",개발일정표!$V:$V,"&lt;="&amp;$C$1)</f>
        <v>0</v>
      </c>
      <c r="T24" s="58">
        <f>COUNTIFS(개발일정표!$A:$A,$A$24,개발일정표!$B:$B,$B24,개발일정표!$H:$H,"&lt;&gt;삭제",개발일정표!$T:$T,"&lt;&gt;검수제외",개발일정표!$Y:$Y,"=L3",개발일정표!$X:$X,"&lt;="&amp;$C$1)+COUNTIFS(개발일정표!$A:$A,$A$24,개발일정표!$B:$B,$B24,개발일정표!$H:$H,"&lt;&gt;삭제",개발일정표!$T:$T,"&lt;&gt;검수제외",개발일정표!$Y:$Y,"=L1",개발일정표!$Z:$Z,"=Y",개발일정표!$X:$X,"&lt;="&amp;$C$1)+COUNTIFS(개발일정표!$A:$A,$A$24,개발일정표!$B:$B,$B24,개발일정표!$H:$H,"&lt;&gt;삭제",개발일정표!$T:$T,"&lt;&gt;검수제외",개발일정표!$Y:$Y,"=L2",개발일정표!$Z:$Z,"=Y",개발일정표!$X:$X,"&lt;="&amp;$C$1)</f>
        <v>0</v>
      </c>
      <c r="U24" s="58">
        <f>COUNTIFS(개발일정표!$A:$A,$A$24,개발일정표!$B:$B,$B24,개발일정표!$H:$H,"&lt;&gt;삭제",개발일정표!$T:$T,"&lt;&gt;검수제외",개발일정표!$Y:$Y,"=L2")-COUNTIFS(개발일정표!$A:$A,$A$24,개발일정표!$B:$B,$B24,개발일정표!$H:$H,"&lt;&gt;삭제",개발일정표!$T:$T,"&lt;&gt;검수제외",개발일정표!$Y:$Y,"=L2",개발일정표!$Z:$Z,"=Y",개발일정표!$X:$X,"&lt;="&amp;$C$1)</f>
        <v>0</v>
      </c>
      <c r="V24" s="59">
        <f>S24-(T24+U24)</f>
        <v>0</v>
      </c>
      <c r="W24" s="58">
        <f>COUNTIFS(개발일정표!$A:$A,$A$24,개발일정표!$B:$B,$B24,개발일정표!$H:$H,"&lt;&gt;삭제",개발일정표!$T:$T,"&lt;&gt;검수제외",개발일정표!$Y:$Y,"=L1")-COUNTIFS(개발일정표!$A:$A,$A$24,개발일정표!$B:$B,$B24,개발일정표!$H:$H,"&lt;&gt;삭제",개발일정표!$T:$T,"&lt;&gt;검수제외",개발일정표!$Y:$Y,"=L1",개발일정표!$Z:$Z,"=Y",개발일정표!$X:$X,"&lt;="&amp;$C$1)</f>
        <v>0</v>
      </c>
      <c r="X24" s="60">
        <f>IF(S24=0, 0,(T24+U24)/S24)</f>
        <v>0</v>
      </c>
      <c r="Y24" s="60">
        <f>IF(R24=0,0,(T24+U24)/R24)</f>
        <v>0</v>
      </c>
      <c r="Z24" s="58">
        <f>COUNTIFS(개발일정표!$A:$A,$A$24,개발일정표!$B:$B,$B24,개발일정표!$H:$H,"&lt;&gt;삭제",개발일정표!$AA:$AA,"&lt;&gt;검수제외")</f>
        <v>8</v>
      </c>
      <c r="AA24" s="58">
        <f>COUNTIFS(개발일정표!$A:$A,$A$24,개발일정표!$B:$B,$B24,개발일정표!$H:$H,"&lt;&gt;삭제",개발일정표!$AA:$AA,"&lt;&gt;검수제외",개발일정표!$AC:$AC,"&lt;="&amp;$C$1)</f>
        <v>0</v>
      </c>
      <c r="AB24" s="58">
        <f>COUNTIFS(개발일정표!$A:$A,$A$24,개발일정표!$B:$B,$B24,개발일정표!$H:$H,"&lt;&gt;삭제",개발일정표!$AA:$AA,"&lt;&gt;검수제외",개발일정표!$AF:$AF,"=L3",개발일정표!$AE:$AE,"&lt;="&amp;$C$1)+COUNTIFS(개발일정표!$A:$A,$A$24,개발일정표!$B:$B,$B24,개발일정표!$H:$H,"&lt;&gt;삭제",개발일정표!$AA:$AA,"&lt;&gt;검수제외",개발일정표!$AF:$AF,"=L1",개발일정표!$AG:$AG,"=Y",개발일정표!$AE:$AE,"&lt;="&amp;$C$1)+COUNTIFS(개발일정표!$A:$A,$A$24,개발일정표!$B:$B,$B24,개발일정표!$H:$H,"&lt;&gt;삭제",개발일정표!$AA:$AA,"&lt;&gt;검수제외",개발일정표!$AF:$AF,"=L2",개발일정표!$AG:$AG,"=Y",개발일정표!$AE:$AE,"&lt;="&amp;$C$1)</f>
        <v>0</v>
      </c>
      <c r="AC24" s="58">
        <f>COUNTIFS(개발일정표!$A:$A,$A$24,개발일정표!$B:$B,$B24,개발일정표!$H:$H,"&lt;&gt;삭제",개발일정표!$AA:$AA,"&lt;&gt;검수제외",개발일정표!$AF:$AF,"=L2")-COUNTIFS(개발일정표!$A:$A,$A$24,개발일정표!$B:$B,$B24,개발일정표!$H:$H,"&lt;&gt;삭제",개발일정표!$AA:$AA,"&lt;&gt;검수제외",개발일정표!$AF:$AF,"=L2",개발일정표!$AG:$AG,"=Y",개발일정표!$AE:$AE,"&lt;="&amp;$C$1)</f>
        <v>0</v>
      </c>
      <c r="AD24" s="59">
        <f>AA24-(AB24+AC24)</f>
        <v>0</v>
      </c>
      <c r="AE24" s="58">
        <f>COUNTIFS(개발일정표!$A:$A,$A$24,개발일정표!$B:$B,$B24,개발일정표!$H:$H,"&lt;&gt;삭제",개발일정표!$AA:$AA,"&lt;&gt;검수제외",개발일정표!$AF:$AF,"=L1")-COUNTIFS(개발일정표!$A:$A,$A$24,개발일정표!$B:$B,$B24,개발일정표!$H:$H,"&lt;&gt;삭제",개발일정표!$AA:$AA,"&lt;&gt;검수제외",개발일정표!$AF:$AF,"=L1",개발일정표!$AG:$AG,"=Y",개발일정표!$AE:$AE,"&lt;="&amp;$C$1)</f>
        <v>0</v>
      </c>
      <c r="AF24" s="60">
        <f>IF(AA24=0, 0,(AB24+AC24)/AA24)</f>
        <v>0</v>
      </c>
      <c r="AG24" s="60">
        <f>IF(Z24=0,0,(AB24+AC24)/Z24)</f>
        <v>0</v>
      </c>
      <c r="AH24" s="58">
        <f>COUNTIFS(개발일정표!$A:$A,$A$24,개발일정표!$B:$B,$B24,개발일정표!$H:$H,"&lt;&gt;삭제",개발일정표!$J:$J,"&lt;&gt;미정")</f>
        <v>7</v>
      </c>
      <c r="AI24" s="58">
        <f>COUNTIFS(개발일정표!$A:$A,$A$24,개발일정표!$B:$B,$B24,개발일정표!$H:$H,"&lt;&gt;삭제",개발일정표!$J:$J,"=미정")</f>
        <v>1</v>
      </c>
    </row>
    <row r="25" spans="1:35" s="56" customFormat="1" ht="14.25" hidden="1" customHeight="1">
      <c r="A25" s="158"/>
      <c r="B25" s="75"/>
      <c r="C25" s="58">
        <f>COUNTIFS(개발일정표!$A:$A,$A$24,개발일정표!$B:$B,$B25,개발일정표!$H:$H,"&lt;&gt;삭제")</f>
        <v>0</v>
      </c>
      <c r="D25" s="58">
        <f>COUNTIFS(개발일정표!$A:$A,$A$24,개발일정표!$B:$B,$B25,개발일정표!$H:$H,"&lt;&gt;삭제",개발일정표!$J:$J,"&lt;="&amp;$C$1)</f>
        <v>0</v>
      </c>
      <c r="E25" s="58">
        <f>COUNTIFS(개발일정표!$A:$A,$A$24,개발일정표!$B:$B,$B25,개발일정표!$H:$H,"&lt;&gt;삭제",개발일정표!$L:$L,"&lt;="&amp;$C$1)</f>
        <v>0</v>
      </c>
      <c r="F25" s="59">
        <f>D25-E25</f>
        <v>0</v>
      </c>
      <c r="G25" s="59">
        <f>COUNTIFS(개발일정표!$A:$A,$A$24,개발일정표!$B:$B,$B25,개발일정표!$H:$H,"&lt;&gt;삭제",개발일정표!$K:$K,"&lt;="&amp;$C$1,개발일정표!$L:$L,"")</f>
        <v>0</v>
      </c>
      <c r="H25" s="59">
        <f>COUNTIFS(개발일정표!$A:$A,$A$24,개발일정표!$B:$B,$B25,개발일정표!$H:$H,"&lt;&gt;삭제",개발일정표!$J:$J,"="&amp;$C$1)</f>
        <v>0</v>
      </c>
      <c r="I25" s="60">
        <f>IF(D25=0,0,E25/D25)</f>
        <v>0</v>
      </c>
      <c r="J25" s="60">
        <f>IF(C25=0,0,E25/C25)</f>
        <v>0</v>
      </c>
      <c r="K25" s="58">
        <f>COUNTIFS(개발일정표!$A:$A,$A$24,개발일정표!$B:$B,$B25,개발일정표!$H:$H,"&lt;&gt;삭제",개발일정표!$M:$M,"&lt;&gt;검수제외",개발일정표!$O:$O,"&lt;="&amp;$C$1)</f>
        <v>0</v>
      </c>
      <c r="L25" s="58">
        <f>COUNTIFS(개발일정표!$A:$A,$A$24,개발일정표!$B:$B,$B25,개발일정표!$H:$H,"&lt;&gt;삭제",개발일정표!$M:$M,"&lt;&gt;검수제외",개발일정표!$R:$R,"=L3",개발일정표!$Q:$Q,"&lt;="&amp;$C$1)+COUNTIFS(개발일정표!$A:$A,$A$24,개발일정표!$B:$B,$B25,개발일정표!$H:$H,"&lt;&gt;삭제",개발일정표!$M:$M,"&lt;&gt;검수제외",개발일정표!$R:$R,"=L1",개발일정표!$S:$S,"=Y",개발일정표!$Q:$Q,"&lt;="&amp;$C$1)</f>
        <v>0</v>
      </c>
      <c r="M25" s="58">
        <f>COUNTIFS(개발일정표!$A:$A,$A$24,개발일정표!$B:$B,$B25,개발일정표!$H:$H,"&lt;&gt;삭제",개발일정표!$M:$M,"&lt;&gt;검수제외",개발일정표!$R:$R,"=L2")-COUNTIFS(개발일정표!$A:$A,$A$24,개발일정표!$B:$B,$B25,개발일정표!$H:$H,"&lt;&gt;삭제",개발일정표!$M:$M,"&lt;&gt;검수제외",개발일정표!$R:$R,"=L2",개발일정표!$S:$S,"=Y",개발일정표!$Q:$Q,"&lt;="&amp;$C$1)</f>
        <v>0</v>
      </c>
      <c r="N25" s="59">
        <f>K25-(L25+M25)</f>
        <v>0</v>
      </c>
      <c r="O25" s="58">
        <f>COUNTIFS(개발일정표!$A:$A,$A$24,개발일정표!$B:$B,$B25,개발일정표!$H:$H,"&lt;&gt;삭제",개발일정표!$M:$M,"&lt;&gt;검수제외",개발일정표!$R:$R,"=L1")-COUNTIFS(개발일정표!$A:$A,$A$24,개발일정표!$B:$B,$B25,개발일정표!$H:$H,"&lt;&gt;삭제",개발일정표!$M:$M,"&lt;&gt;검수제외",개발일정표!$R:$R,"=L1",개발일정표!$S:$S,"=Y",개발일정표!$Q:$Q,"&lt;="&amp;$C$1)</f>
        <v>0</v>
      </c>
      <c r="P25" s="60">
        <f>IF(K25=0, 0,(L25+M25)/K25)</f>
        <v>0</v>
      </c>
      <c r="Q25" s="60">
        <f>IF(C25=0,0,(L25+M25)/C25)</f>
        <v>0</v>
      </c>
      <c r="R25" s="58">
        <f>COUNTIFS(개발일정표!$A:$A,$A$24,개발일정표!$B:$B,$B25,개발일정표!$H:$H,"&lt;&gt;삭제",개발일정표!$T:$T,"&lt;&gt;검수제외")</f>
        <v>0</v>
      </c>
      <c r="S25" s="58">
        <f>COUNTIFS(개발일정표!$A:$A,$A$24,개발일정표!$B:$B,$B25,개발일정표!$H:$H,"&lt;&gt;삭제",개발일정표!$T:$T,"&lt;&gt;검수제외",개발일정표!$V:$V,"&lt;="&amp;$C$1)</f>
        <v>0</v>
      </c>
      <c r="T25" s="58">
        <f>COUNTIFS(개발일정표!$A:$A,$A$24,개발일정표!$B:$B,$B25,개발일정표!$H:$H,"&lt;&gt;삭제",개발일정표!$T:$T,"&lt;&gt;검수제외",개발일정표!$Y:$Y,"=L3",개발일정표!$X:$X,"&lt;="&amp;$C$1)+COUNTIFS(개발일정표!$A:$A,$A$24,개발일정표!$B:$B,$B25,개발일정표!$H:$H,"&lt;&gt;삭제",개발일정표!$T:$T,"&lt;&gt;검수제외",개발일정표!$Y:$Y,"=L1",개발일정표!$Z:$Z,"=Y",개발일정표!$X:$X,"&lt;="&amp;$C$1)</f>
        <v>0</v>
      </c>
      <c r="U25" s="58">
        <f>COUNTIFS(개발일정표!$A:$A,$A$24,개발일정표!$B:$B,$B25,개발일정표!$H:$H,"&lt;&gt;삭제",개발일정표!$T:$T,"&lt;&gt;검수제외",개발일정표!$Y:$Y,"=L2")</f>
        <v>0</v>
      </c>
      <c r="V25" s="59">
        <f>S25-(T25+U25)</f>
        <v>0</v>
      </c>
      <c r="W25" s="58">
        <f>COUNTIFS(개발일정표!$A:$A,$A$24,개발일정표!$B:$B,$B25,개발일정표!$H:$H,"&lt;&gt;삭제",개발일정표!$T:$T,"&lt;&gt;검수제외",개발일정표!$Y:$Y,"=L1")-COUNTIFS(개발일정표!$A:$A,$A$24,개발일정표!$B:$B,$B25,개발일정표!$H:$H,"&lt;&gt;삭제",개발일정표!$T:$T,"&lt;&gt;검수제외",개발일정표!$Y:$Y,"=L1",개발일정표!$Z:$Z,"=Y",개발일정표!$X:$X,"&lt;="&amp;$C$1)</f>
        <v>0</v>
      </c>
      <c r="X25" s="60">
        <f>IF(S25=0, 0,(T25+U25)/S25)</f>
        <v>0</v>
      </c>
      <c r="Y25" s="60">
        <f>IF(R25=0,0,(T25+U25)/R25)</f>
        <v>0</v>
      </c>
      <c r="Z25" s="58">
        <f>COUNTIFS(개발일정표!$A:$A,$A$24,개발일정표!$B:$B,$B25,개발일정표!$H:$H,"&lt;&gt;삭제",개발일정표!$AA:$AA,"&lt;&gt;검수제외")</f>
        <v>0</v>
      </c>
      <c r="AA25" s="58">
        <f>COUNTIFS(개발일정표!$A:$A,$A$24,개발일정표!$B:$B,$B25,개발일정표!$H:$H,"&lt;&gt;삭제",개발일정표!$AA:$AA,"&lt;&gt;검수제외",개발일정표!$AC:$AC,"&lt;="&amp;$C$1)</f>
        <v>0</v>
      </c>
      <c r="AB25" s="58">
        <f>COUNTIFS(개발일정표!$A:$A,$A$24,개발일정표!$B:$B,$B25,개발일정표!$H:$H,"&lt;&gt;삭제",개발일정표!$AA:$AA,"&lt;&gt;검수제외",개발일정표!$AF:$AF,"=L3",개발일정표!$AE:$AE,"&lt;="&amp;$C$1)+COUNTIFS(개발일정표!$A:$A,$A$24,개발일정표!$B:$B,$B25,개발일정표!$H:$H,"&lt;&gt;삭제",개발일정표!$AA:$AA,"&lt;&gt;검수제외",개발일정표!$AF:$AF,"=L1",개발일정표!$AG:$AG,"=Y",개발일정표!$AE:$AE,"&lt;="&amp;$C$1)</f>
        <v>0</v>
      </c>
      <c r="AC25" s="58">
        <f>COUNTIFS(개발일정표!$A:$A,$A$24,개발일정표!$B:$B,$B25,개발일정표!$H:$H,"&lt;&gt;삭제",개발일정표!$AA:$AA,"&lt;&gt;검수제외",개발일정표!$AF:$AF,"=L2")</f>
        <v>0</v>
      </c>
      <c r="AD25" s="59">
        <f>AA25-(AB25+AC25)</f>
        <v>0</v>
      </c>
      <c r="AE25" s="58">
        <f>COUNTIFS(개발일정표!$A:$A,$A$24,개발일정표!$B:$B,$B25,개발일정표!$H:$H,"&lt;&gt;삭제",개발일정표!$AA:$AA,"&lt;&gt;검수제외",개발일정표!$AF:$AF,"=L1")-COUNTIFS(개발일정표!$A:$A,$A$24,개발일정표!$B:$B,$B25,개발일정표!$H:$H,"&lt;&gt;삭제",개발일정표!$AA:$AA,"&lt;&gt;검수제외",개발일정표!$AF:$AF,"=L1",개발일정표!$AG:$AG,"=Y",개발일정표!$AE:$AE,"&lt;="&amp;$C$1)</f>
        <v>0</v>
      </c>
      <c r="AF25" s="60">
        <f>IF(AA25=0, 0,(AB25+AC25)/AA25)</f>
        <v>0</v>
      </c>
      <c r="AG25" s="60">
        <f>IF(Z25=0,0,(AB25+AC25)/Z25)</f>
        <v>0</v>
      </c>
      <c r="AH25" s="58">
        <f>COUNTIFS(개발일정표!$A:$A,$A$24,개발일정표!$B:$B,$B25,개발일정표!$H:$H,"&lt;&gt;삭제")</f>
        <v>0</v>
      </c>
      <c r="AI25" s="58">
        <f>COUNTIFS(개발일정표!$A:$A,$A$24,개발일정표!$B:$B,$B25,개발일정표!$H:$H,"&lt;&gt;삭제")</f>
        <v>0</v>
      </c>
    </row>
    <row r="26" spans="1:35" s="56" customFormat="1" ht="14.25" customHeight="1">
      <c r="A26" s="158"/>
      <c r="B26" s="15" t="s">
        <v>57</v>
      </c>
      <c r="C26" s="61">
        <f t="shared" ref="C26:H26" si="74">SUM(C24:C25)</f>
        <v>8</v>
      </c>
      <c r="D26" s="61">
        <f t="shared" si="74"/>
        <v>0</v>
      </c>
      <c r="E26" s="61">
        <f t="shared" si="74"/>
        <v>0</v>
      </c>
      <c r="F26" s="61">
        <f t="shared" si="74"/>
        <v>0</v>
      </c>
      <c r="G26" s="36">
        <f t="shared" si="74"/>
        <v>0</v>
      </c>
      <c r="H26" s="36">
        <f t="shared" si="74"/>
        <v>0</v>
      </c>
      <c r="I26" s="21">
        <f>IF(D26=0,0,E26/D26)</f>
        <v>0</v>
      </c>
      <c r="J26" s="21">
        <f>IF(C26=0,0,E26/C26)</f>
        <v>0</v>
      </c>
      <c r="K26" s="61">
        <f>SUM(K24:K25)</f>
        <v>0</v>
      </c>
      <c r="L26" s="61">
        <f>SUM(L24:L25)</f>
        <v>0</v>
      </c>
      <c r="M26" s="61">
        <f>SUM(M24:M25)</f>
        <v>0</v>
      </c>
      <c r="N26" s="61">
        <f>SUM(N24:N25)</f>
        <v>0</v>
      </c>
      <c r="O26" s="61">
        <f>SUM(O24:O25)</f>
        <v>0</v>
      </c>
      <c r="P26" s="21">
        <f>IF(K26=0, 0,(L26+M26)/K26)</f>
        <v>0</v>
      </c>
      <c r="Q26" s="21">
        <f>IF(C26=0,0,(L26+M26)/C26)</f>
        <v>0</v>
      </c>
      <c r="R26" s="61">
        <f t="shared" ref="R26:W26" si="75">SUM(R24:R25)</f>
        <v>8</v>
      </c>
      <c r="S26" s="61">
        <f t="shared" si="75"/>
        <v>0</v>
      </c>
      <c r="T26" s="61">
        <f t="shared" si="75"/>
        <v>0</v>
      </c>
      <c r="U26" s="61">
        <f t="shared" si="75"/>
        <v>0</v>
      </c>
      <c r="V26" s="61">
        <f t="shared" si="75"/>
        <v>0</v>
      </c>
      <c r="W26" s="61">
        <f t="shared" si="75"/>
        <v>0</v>
      </c>
      <c r="X26" s="21">
        <f>IF(S26=0, 0,(T26+U26)/S26)</f>
        <v>0</v>
      </c>
      <c r="Y26" s="21">
        <f>IF(R26=0,0,(T26+U26)/R26)</f>
        <v>0</v>
      </c>
      <c r="Z26" s="61">
        <f t="shared" ref="Z26:AE26" si="76">SUM(Z24:Z25)</f>
        <v>8</v>
      </c>
      <c r="AA26" s="61">
        <f t="shared" si="76"/>
        <v>0</v>
      </c>
      <c r="AB26" s="61">
        <f t="shared" si="76"/>
        <v>0</v>
      </c>
      <c r="AC26" s="61">
        <f t="shared" si="76"/>
        <v>0</v>
      </c>
      <c r="AD26" s="61">
        <f t="shared" si="76"/>
        <v>0</v>
      </c>
      <c r="AE26" s="61">
        <f t="shared" si="76"/>
        <v>0</v>
      </c>
      <c r="AF26" s="21">
        <f>IF(AA26=0,0,(AB26+AC26)/AA26)</f>
        <v>0</v>
      </c>
      <c r="AG26" s="21">
        <f>IF(Z26=0,0,(AB26+AC26)/Z26)</f>
        <v>0</v>
      </c>
      <c r="AH26" s="61">
        <f t="shared" ref="AH26:AI26" si="77">SUM(AH24:AH25)</f>
        <v>7</v>
      </c>
      <c r="AI26" s="61">
        <f t="shared" si="77"/>
        <v>1</v>
      </c>
    </row>
    <row r="27" spans="1:35" s="56" customFormat="1" ht="14.25" customHeight="1">
      <c r="A27" s="191" t="s">
        <v>88</v>
      </c>
      <c r="B27" s="192"/>
      <c r="C27" s="61">
        <f>C7+C12+C16+C18+C20+C23+C26</f>
        <v>130</v>
      </c>
      <c r="D27" s="61">
        <f>D7+D12+D16+D18+D20+D23+D26</f>
        <v>18</v>
      </c>
      <c r="E27" s="61">
        <f t="shared" ref="E27:F27" si="78">E7+E12+E16+E18+E20+E23+E26</f>
        <v>9</v>
      </c>
      <c r="F27" s="61">
        <f t="shared" si="78"/>
        <v>9</v>
      </c>
      <c r="G27" s="61">
        <f t="shared" ref="G27" si="79">G7+G12+G16+G18+G20+G23+G26</f>
        <v>8</v>
      </c>
      <c r="H27" s="61">
        <f t="shared" ref="H27" si="80">H7+H12+H16+H18+H20+H23+H26</f>
        <v>2</v>
      </c>
      <c r="I27" s="21">
        <f>IF(D27=0,0,E27/D27)</f>
        <v>0.5</v>
      </c>
      <c r="J27" s="21">
        <f>IF(C27=0,0,E27/C27)</f>
        <v>6.9230769230769235E-2</v>
      </c>
      <c r="K27" s="61">
        <f t="shared" ref="K27" si="81">K7+K12+K16+K18+K20+K23+K26</f>
        <v>0</v>
      </c>
      <c r="L27" s="61">
        <f t="shared" ref="L27" si="82">L7+L12+L16+L18+L20+L23+L26</f>
        <v>0</v>
      </c>
      <c r="M27" s="61">
        <f t="shared" ref="M27" si="83">M7+M12+M16+M18+M20+M23+M26</f>
        <v>0</v>
      </c>
      <c r="N27" s="61">
        <f t="shared" ref="N27" si="84">N7+N12+N16+N18+N20+N23+N26</f>
        <v>0</v>
      </c>
      <c r="O27" s="61">
        <f t="shared" ref="O27" si="85">O7+O12+O16+O18+O20+O23+O26</f>
        <v>0</v>
      </c>
      <c r="P27" s="21">
        <f>IF(K27=0, 0,(L27+M27)/K27)</f>
        <v>0</v>
      </c>
      <c r="Q27" s="21">
        <f>IF(C27=0,0,(L27+M27)/C27)</f>
        <v>0</v>
      </c>
      <c r="R27" s="61">
        <f t="shared" ref="R27" si="86">R7+R12+R16+R18+R20+R23+R26</f>
        <v>130</v>
      </c>
      <c r="S27" s="61">
        <f t="shared" ref="S27" si="87">S7+S12+S16+S18+S20+S23+S26</f>
        <v>0</v>
      </c>
      <c r="T27" s="61">
        <f t="shared" ref="T27" si="88">T7+T12+T16+T18+T20+T23+T26</f>
        <v>0</v>
      </c>
      <c r="U27" s="61">
        <f t="shared" ref="U27" si="89">U7+U12+U16+U18+U20+U23+U26</f>
        <v>0</v>
      </c>
      <c r="V27" s="61">
        <f t="shared" ref="V27" si="90">V7+V12+V16+V18+V20+V23+V26</f>
        <v>0</v>
      </c>
      <c r="W27" s="61">
        <f t="shared" ref="W27" si="91">W7+W12+W16+W18+W20+W23+W26</f>
        <v>0</v>
      </c>
      <c r="X27" s="21">
        <f>IF(S27=0, 0,(T27+U27)/S27)</f>
        <v>0</v>
      </c>
      <c r="Y27" s="21">
        <f>IF(R27=0,0,(T27+U27)/R27)</f>
        <v>0</v>
      </c>
      <c r="Z27" s="61">
        <f t="shared" ref="Z27" si="92">Z7+Z12+Z16+Z18+Z20+Z23+Z26</f>
        <v>130</v>
      </c>
      <c r="AA27" s="61">
        <f t="shared" ref="AA27" si="93">AA7+AA12+AA16+AA18+AA20+AA23+AA26</f>
        <v>0</v>
      </c>
      <c r="AB27" s="61">
        <f t="shared" ref="AB27" si="94">AB7+AB12+AB16+AB18+AB20+AB23+AB26</f>
        <v>0</v>
      </c>
      <c r="AC27" s="61">
        <f t="shared" ref="AC27" si="95">AC7+AC12+AC16+AC18+AC20+AC23+AC26</f>
        <v>0</v>
      </c>
      <c r="AD27" s="61">
        <f t="shared" ref="AD27" si="96">AD7+AD12+AD16+AD18+AD20+AD23+AD26</f>
        <v>0</v>
      </c>
      <c r="AE27" s="61">
        <f t="shared" ref="AE27" si="97">AE7+AE12+AE16+AE18+AE20+AE23+AE26</f>
        <v>0</v>
      </c>
      <c r="AF27" s="21">
        <f>IF(AA27=0,0,(AB27+AC27)/AA27)</f>
        <v>0</v>
      </c>
      <c r="AG27" s="21">
        <f>IF(Z27=0,0,(AB27+AC27)/Z27)</f>
        <v>0</v>
      </c>
      <c r="AH27" s="61">
        <f>AH7+AH12+AH16+AH18+AH20+AH23+AH26</f>
        <v>83</v>
      </c>
      <c r="AI27" s="61">
        <f>AI7+AI12+AI16+AI18+AI20+AI23+AI26</f>
        <v>47</v>
      </c>
    </row>
    <row r="28" spans="1:35" s="47" customFormat="1" ht="14.25" hidden="1" customHeight="1">
      <c r="A28" s="77"/>
      <c r="B28" s="78"/>
      <c r="C28" s="79"/>
      <c r="D28" s="79"/>
      <c r="E28" s="80"/>
      <c r="F28" s="79"/>
      <c r="G28" s="81"/>
      <c r="H28" s="81"/>
      <c r="I28" s="82"/>
      <c r="J28" s="82"/>
      <c r="K28" s="79"/>
      <c r="L28" s="83"/>
      <c r="M28" s="84">
        <f>L27+M27</f>
        <v>0</v>
      </c>
      <c r="N28" s="85"/>
      <c r="O28" s="84">
        <f>L27+M27+O27</f>
        <v>0</v>
      </c>
      <c r="P28" s="21">
        <f>IF(K27=0, 0,(L27+M27+O27)/K27)</f>
        <v>0</v>
      </c>
      <c r="Q28" s="21">
        <f>IF(C27=0,0,(L27+M27+O27)/C27)</f>
        <v>0</v>
      </c>
      <c r="R28" s="85"/>
      <c r="S28" s="85"/>
      <c r="T28" s="85"/>
      <c r="U28" s="84">
        <f>T27+U27</f>
        <v>0</v>
      </c>
      <c r="V28" s="85"/>
      <c r="W28" s="84">
        <f>T27+U27+W27</f>
        <v>0</v>
      </c>
      <c r="X28" s="21">
        <f>IF(S27=0, 0,(T27+U27+W27)/S27)</f>
        <v>0</v>
      </c>
      <c r="Y28" s="21">
        <f>IF(R27=0,0,(T27+U27+W27)/R27)</f>
        <v>0</v>
      </c>
      <c r="Z28" s="85"/>
      <c r="AA28" s="85"/>
      <c r="AB28" s="85"/>
      <c r="AC28" s="84">
        <f>AB27+AC27</f>
        <v>0</v>
      </c>
      <c r="AD28" s="85"/>
      <c r="AE28" s="84">
        <f>AB27+AC27+AE27</f>
        <v>0</v>
      </c>
      <c r="AF28" s="21">
        <f>IF(AA27=0, 0,(AB27+AC27+AE27)/AA27)</f>
        <v>0</v>
      </c>
      <c r="AG28" s="21">
        <f>IF(Z27=0,0,(AB27+AC27+AE27)/Z27)</f>
        <v>0</v>
      </c>
      <c r="AH28" s="79"/>
      <c r="AI28" s="79"/>
    </row>
    <row r="29" spans="1:35" ht="14.25" customHeight="1">
      <c r="A29" s="158" t="s">
        <v>437</v>
      </c>
      <c r="B29" s="75" t="s">
        <v>438</v>
      </c>
      <c r="C29" s="12">
        <f>COUNTIFS(개발일정표!$A:$A,$A$29,개발일정표!$B:$B,$B29,개발일정표!$H:$H,"&lt;&gt;삭제")</f>
        <v>2</v>
      </c>
      <c r="D29" s="12">
        <f>COUNTIFS(개발일정표!$A:$A,$A$29,개발일정표!$B:$B,$B29,개발일정표!$H:$H,"&lt;&gt;삭제",개발일정표!$J:$J,"&lt;="&amp;$C$1)</f>
        <v>0</v>
      </c>
      <c r="E29" s="12">
        <f>COUNTIFS(개발일정표!$A:$A,$A$29,개발일정표!$B:$B,$B29,개발일정표!$H:$H,"&lt;&gt;삭제",개발일정표!$L:$L,"&lt;="&amp;$C$1)</f>
        <v>0</v>
      </c>
      <c r="F29" s="13">
        <f>D29-E29</f>
        <v>0</v>
      </c>
      <c r="G29" s="35">
        <f>COUNTIFS(개발일정표!$A:$A,$A$29,개발일정표!$B:$B,$B29,개발일정표!$H:$H,"&lt;&gt;삭제",개발일정표!$K:$K,"&lt;="&amp;$C$1,개발일정표!$L:$L,"")</f>
        <v>0</v>
      </c>
      <c r="H29" s="35">
        <f>COUNTIFS(개발일정표!$A:$A,$A$29,개발일정표!$B:$B,$B29,개발일정표!$H:$H,"&lt;&gt;삭제",개발일정표!$J:$J,"="&amp;$C$1)</f>
        <v>0</v>
      </c>
      <c r="I29" s="14">
        <f>IF(D29=0,0,E29/D29)</f>
        <v>0</v>
      </c>
      <c r="J29" s="14">
        <f>IF(C29=0,0,E29/C29)</f>
        <v>0</v>
      </c>
      <c r="K29" s="12">
        <f>COUNTIFS(개발일정표!$A:$A,$A$29,개발일정표!$B:$B,$B29,개발일정표!$H:$H,"&lt;&gt;삭제",개발일정표!$M:$M,"&lt;&gt;검수제외",개발일정표!$O:$O,"&lt;="&amp;$C$1)</f>
        <v>0</v>
      </c>
      <c r="L29" s="12">
        <f>COUNTIFS(개발일정표!$A:$A,$A$29,개발일정표!$B:$B,$B29,개발일정표!$H:$H,"&lt;&gt;삭제",개발일정표!$M:$M,"&lt;&gt;검수제외",개발일정표!$R:$R,"=L3",개발일정표!$Q:$Q,"&lt;="&amp;$C$1)+COUNTIFS(개발일정표!$A:$A,$A$29,개발일정표!$B:$B,$B29,개발일정표!$H:$H,"&lt;&gt;삭제",개발일정표!$M:$M,"&lt;&gt;검수제외",개발일정표!$R:$R,"=L1",개발일정표!$S:$S,"=Y",개발일정표!$Q:$Q,"&lt;="&amp;$C$1)+COUNTIFS(개발일정표!$A:$A,$A$29,개발일정표!$B:$B,$B29,개발일정표!$H:$H,"&lt;&gt;삭제",개발일정표!$M:$M,"&lt;&gt;검수제외",개발일정표!$R:$R,"=L2",개발일정표!$S:$S,"=Y",개발일정표!$Q:$Q,"&lt;="&amp;$C$1)</f>
        <v>0</v>
      </c>
      <c r="M29" s="12">
        <f>COUNTIFS(개발일정표!$A:$A,$A$29,개발일정표!$B:$B,$B29,개발일정표!$H:$H,"&lt;&gt;삭제",개발일정표!$M:$M,"&lt;&gt;검수제외",개발일정표!$R:$R,"=L2")-COUNTIFS(개발일정표!$A:$A,$A$29,개발일정표!$B:$B,$B29,개발일정표!$H:$H,"&lt;&gt;삭제",개발일정표!$M:$M,"&lt;&gt;검수제외",개발일정표!$R:$R,"=L2",개발일정표!$S:$S,"=Y",개발일정표!$Q:$Q,"&lt;="&amp;$C$1)</f>
        <v>0</v>
      </c>
      <c r="N29" s="13">
        <f>K29-(L29+M29)</f>
        <v>0</v>
      </c>
      <c r="O29" s="12">
        <f>COUNTIFS(개발일정표!$A:$A,$A$29,개발일정표!$B:$B,$B29,개발일정표!$H:$H,"&lt;&gt;삭제",개발일정표!$M:$M,"&lt;&gt;검수제외",개발일정표!$R:$R,"=L1")-COUNTIFS(개발일정표!$A:$A,$A$29,개발일정표!$B:$B,$B29,개발일정표!$H:$H,"&lt;&gt;삭제",개발일정표!$M:$M,"&lt;&gt;검수제외",개발일정표!$R:$R,"=L1",개발일정표!$S:$S,"=Y",개발일정표!$Q:$Q,"&lt;="&amp;$C$1)</f>
        <v>0</v>
      </c>
      <c r="P29" s="14">
        <f>IF(K29=0, 0,(L29+M29)/K29)</f>
        <v>0</v>
      </c>
      <c r="Q29" s="14">
        <f>IF(C29=0,0,(L29+M29)/C29)</f>
        <v>0</v>
      </c>
      <c r="R29" s="12">
        <f>COUNTIFS(개발일정표!$A:$A,$A$29,개발일정표!$B:$B,$B29,개발일정표!$H:$H,"&lt;&gt;삭제",개발일정표!$T:$T,"&lt;&gt;검수제외")</f>
        <v>2</v>
      </c>
      <c r="S29" s="12">
        <f>COUNTIFS(개발일정표!$A:$A,$A$29,개발일정표!$B:$B,$B29,개발일정표!$H:$H,"&lt;&gt;삭제",개발일정표!$T:$T,"&lt;&gt;검수제외",개발일정표!$V:$V,"&lt;="&amp;$C$1)</f>
        <v>0</v>
      </c>
      <c r="T29" s="12">
        <f>COUNTIFS(개발일정표!$A:$A,$A$29,개발일정표!$B:$B,$B29,개발일정표!$H:$H,"&lt;&gt;삭제",개발일정표!$T:$T,"&lt;&gt;검수제외",개발일정표!$Y:$Y,"=L3",개발일정표!$X:$X,"&lt;="&amp;$C$1)+COUNTIFS(개발일정표!$A:$A,$A$29,개발일정표!$B:$B,$B29,개발일정표!$H:$H,"&lt;&gt;삭제",개발일정표!$T:$T,"&lt;&gt;검수제외",개발일정표!$Y:$Y,"=L1",개발일정표!$Z:$Z,"=Y",개발일정표!$X:$X,"&lt;="&amp;$C$1)+COUNTIFS(개발일정표!$A:$A,$A$29,개발일정표!$B:$B,$B29,개발일정표!$H:$H,"&lt;&gt;삭제",개발일정표!$T:$T,"&lt;&gt;검수제외",개발일정표!$Y:$Y,"=L2",개발일정표!$Z:$Z,"=Y",개발일정표!$X:$X,"&lt;="&amp;$C$1)</f>
        <v>0</v>
      </c>
      <c r="U29" s="12">
        <f>COUNTIFS(개발일정표!$A:$A,$A$29,개발일정표!$B:$B,$B29,개발일정표!$H:$H,"&lt;&gt;삭제",개발일정표!$T:$T,"&lt;&gt;검수제외",개발일정표!$Y:$Y,"=L2")-COUNTIFS(개발일정표!$A:$A,$A$29,개발일정표!$B:$B,$B29,개발일정표!$H:$H,"&lt;&gt;삭제",개발일정표!$T:$T,"&lt;&gt;검수제외",개발일정표!$Y:$Y,"=L2",개발일정표!$Z:$Z,"=Y",개발일정표!$X:$X,"&lt;="&amp;$C$1)</f>
        <v>0</v>
      </c>
      <c r="V29" s="13">
        <f>S29-(T29+U29)</f>
        <v>0</v>
      </c>
      <c r="W29" s="12">
        <f>COUNTIFS(개발일정표!$A:$A,$A$29,개발일정표!$B:$B,$B29,개발일정표!$H:$H,"&lt;&gt;삭제",개발일정표!$T:$T,"&lt;&gt;검수제외",개발일정표!$Y:$Y,"=L1")-COUNTIFS(개발일정표!$A:$A,$A$29,개발일정표!$B:$B,$B29,개발일정표!$H:$H,"&lt;&gt;삭제",개발일정표!$T:$T,"&lt;&gt;검수제외",개발일정표!$Y:$Y,"=L1",개발일정표!$Z:$Z,"=Y",개발일정표!$X:$X,"&lt;="&amp;$C$1)</f>
        <v>0</v>
      </c>
      <c r="X29" s="14">
        <f>IF(S29=0, 0,(T29+U29)/S29)</f>
        <v>0</v>
      </c>
      <c r="Y29" s="14">
        <f>IF(R29=0,0,(T29+U29)/R29)</f>
        <v>0</v>
      </c>
      <c r="Z29" s="12">
        <f>COUNTIFS(개발일정표!$A:$A,$A$29,개발일정표!$B:$B,$B29,개발일정표!$H:$H,"&lt;&gt;삭제",개발일정표!$AA:$AA,"&lt;&gt;검수제외")</f>
        <v>2</v>
      </c>
      <c r="AA29" s="12">
        <f>COUNTIFS(개발일정표!$A:$A,$A$29,개발일정표!$B:$B,$B29,개발일정표!$H:$H,"&lt;&gt;삭제",개발일정표!$AA:$AA,"&lt;&gt;검수제외",개발일정표!$AC:$AC,"&lt;="&amp;$C$1)</f>
        <v>0</v>
      </c>
      <c r="AB29" s="12">
        <f>COUNTIFS(개발일정표!$A:$A,$A$29,개발일정표!$B:$B,$B29,개발일정표!$H:$H,"&lt;&gt;삭제",개발일정표!$AA:$AA,"&lt;&gt;검수제외",개발일정표!$AF:$AF,"=L3",개발일정표!$AE:$AE,"&lt;="&amp;$C$1)+COUNTIFS(개발일정표!$A:$A,$A$29,개발일정표!$B:$B,$B29,개발일정표!$H:$H,"&lt;&gt;삭제",개발일정표!$AA:$AA,"&lt;&gt;검수제외",개발일정표!$AF:$AF,"=L1",개발일정표!$AG:$AG,"=Y",개발일정표!$AE:$AE,"&lt;="&amp;$C$1)+COUNTIFS(개발일정표!$A:$A,$A$29,개발일정표!$B:$B,$B29,개발일정표!$H:$H,"&lt;&gt;삭제",개발일정표!$AA:$AA,"&lt;&gt;검수제외",개발일정표!$AF:$AF,"=L2",개발일정표!$AG:$AG,"=Y",개발일정표!$AE:$AE,"&lt;="&amp;$C$1)</f>
        <v>0</v>
      </c>
      <c r="AC29" s="58">
        <f>COUNTIFS(개발일정표!$A:$A,$A$29,개발일정표!$B:$B,$B29,개발일정표!$H:$H,"&lt;&gt;삭제",개발일정표!$AA:$AA,"&lt;&gt;검수제외",개발일정표!$AF:$AF,"=L2")-COUNTIFS(개발일정표!$A:$A,$A$29,개발일정표!$B:$B,$B29,개발일정표!$H:$H,"&lt;&gt;삭제",개발일정표!$AA:$AA,"&lt;&gt;검수제외",개발일정표!$AF:$AF,"=L2",개발일정표!$AG:$AG,"=Y",개발일정표!$AE:$AE,"&lt;="&amp;$C$1)</f>
        <v>0</v>
      </c>
      <c r="AD29" s="59">
        <f>AA29-(AB29+AC29)</f>
        <v>0</v>
      </c>
      <c r="AE29" s="12">
        <f>COUNTIFS(개발일정표!$A:$A,$A$29,개발일정표!$B:$B,$B29,개발일정표!$H:$H,"&lt;&gt;삭제",개발일정표!$AA:$AA,"&lt;&gt;검수제외",개발일정표!$AF:$AF,"=L1")-COUNTIFS(개발일정표!$A:$A,$A$29,개발일정표!$B:$B,$B29,개발일정표!$H:$H,"&lt;&gt;삭제",개발일정표!$AA:$AA,"&lt;&gt;검수제외",개발일정표!$AF:$AF,"=L1",개발일정표!$AG:$AG,"=Y",개발일정표!$AE:$AE,"&lt;="&amp;$C$1)</f>
        <v>0</v>
      </c>
      <c r="AF29" s="14">
        <f>IF(AA29=0, 0,(AB29+AC29)/AA29)</f>
        <v>0</v>
      </c>
      <c r="AG29" s="14">
        <f>IF(Z29=0,0,(AB29+AC29)/Z29)</f>
        <v>0</v>
      </c>
      <c r="AH29" s="58">
        <f>COUNTIFS(개발일정표!$A:$A,$A$29,개발일정표!$B:$B,$B29,개발일정표!$H:$H,"&lt;&gt;삭제",개발일정표!$J:$J,"&lt;&gt;미정")</f>
        <v>0</v>
      </c>
      <c r="AI29" s="58">
        <f>COUNTIFS(개발일정표!$A:$A,$A$29,개발일정표!$B:$B,$B29,개발일정표!$H:$H,"&lt;&gt;삭제",개발일정표!$J:$J,"=미정")</f>
        <v>2</v>
      </c>
    </row>
    <row r="30" spans="1:35" s="56" customFormat="1" ht="14.25" customHeight="1">
      <c r="A30" s="158"/>
      <c r="B30" s="75" t="s">
        <v>439</v>
      </c>
      <c r="C30" s="58">
        <f>COUNTIFS(개발일정표!$A:$A,$A$29,개발일정표!$B:$B,$B30,개발일정표!$H:$H,"&lt;&gt;삭제")</f>
        <v>2</v>
      </c>
      <c r="D30" s="58">
        <f>COUNTIFS(개발일정표!$A:$A,$A$29,개발일정표!$B:$B,$B30,개발일정표!$H:$H,"&lt;&gt;삭제",개발일정표!$J:$J,"&lt;="&amp;$C$1)</f>
        <v>0</v>
      </c>
      <c r="E30" s="58">
        <f>COUNTIFS(개발일정표!$A:$A,$A$29,개발일정표!$B:$B,$B30,개발일정표!$H:$H,"&lt;&gt;삭제",개발일정표!$L:$L,"&lt;="&amp;$C$1)</f>
        <v>0</v>
      </c>
      <c r="F30" s="59">
        <f t="shared" ref="F30:F32" si="98">D30-E30</f>
        <v>0</v>
      </c>
      <c r="G30" s="59">
        <f>COUNTIFS(개발일정표!$A:$A,$A$29,개발일정표!$B:$B,$B30,개발일정표!$H:$H,"&lt;&gt;삭제",개발일정표!$K:$K,"&lt;="&amp;$C$1,개발일정표!$L:$L,"")</f>
        <v>0</v>
      </c>
      <c r="H30" s="59">
        <f>COUNTIFS(개발일정표!$A:$A,$A$29,개발일정표!$B:$B,$B30,개발일정표!$H:$H,"&lt;&gt;삭제",개발일정표!$J:$J,"="&amp;$C$1)</f>
        <v>0</v>
      </c>
      <c r="I30" s="60">
        <f t="shared" ref="I30:I32" si="99">IF(D30=0,0,E30/D30)</f>
        <v>0</v>
      </c>
      <c r="J30" s="60">
        <f t="shared" ref="J30:J32" si="100">IF(C30=0,0,E30/C30)</f>
        <v>0</v>
      </c>
      <c r="K30" s="58">
        <f>COUNTIFS(개발일정표!$A:$A,$A$29,개발일정표!$B:$B,$B30,개발일정표!$H:$H,"&lt;&gt;삭제",개발일정표!$M:$M,"&lt;&gt;검수제외",개발일정표!$O:$O,"&lt;="&amp;$C$1)</f>
        <v>0</v>
      </c>
      <c r="L30" s="58">
        <f>COUNTIFS(개발일정표!$A:$A,$A$29,개발일정표!$B:$B,$B30,개발일정표!$H:$H,"&lt;&gt;삭제",개발일정표!$M:$M,"&lt;&gt;검수제외",개발일정표!$R:$R,"=L3",개발일정표!$Q:$Q,"&lt;="&amp;$C$1)+COUNTIFS(개발일정표!$A:$A,$A$29,개발일정표!$B:$B,$B30,개발일정표!$H:$H,"&lt;&gt;삭제",개발일정표!$M:$M,"&lt;&gt;검수제외",개발일정표!$R:$R,"=L1",개발일정표!$S:$S,"=Y",개발일정표!$Q:$Q,"&lt;="&amp;$C$1)+COUNTIFS(개발일정표!$A:$A,$A$29,개발일정표!$B:$B,$B30,개발일정표!$H:$H,"&lt;&gt;삭제",개발일정표!$M:$M,"&lt;&gt;검수제외",개발일정표!$R:$R,"=L2",개발일정표!$S:$S,"=Y",개발일정표!$Q:$Q,"&lt;="&amp;$C$1)</f>
        <v>0</v>
      </c>
      <c r="M30" s="58">
        <f>COUNTIFS(개발일정표!$A:$A,$A$29,개발일정표!$B:$B,$B30,개발일정표!$H:$H,"&lt;&gt;삭제",개발일정표!$M:$M,"&lt;&gt;검수제외",개발일정표!$R:$R,"=L2")-COUNTIFS(개발일정표!$A:$A,$A$29,개발일정표!$B:$B,$B30,개발일정표!$H:$H,"&lt;&gt;삭제",개발일정표!$M:$M,"&lt;&gt;검수제외",개발일정표!$R:$R,"=L2",개발일정표!$S:$S,"=Y",개발일정표!$Q:$Q,"&lt;="&amp;$C$1)</f>
        <v>0</v>
      </c>
      <c r="N30" s="59">
        <f t="shared" ref="N30:N32" si="101">K30-(L30+M30)</f>
        <v>0</v>
      </c>
      <c r="O30" s="58">
        <f>COUNTIFS(개발일정표!$A:$A,$A$29,개발일정표!$B:$B,$B30,개발일정표!$H:$H,"&lt;&gt;삭제",개발일정표!$M:$M,"&lt;&gt;검수제외",개발일정표!$R:$R,"=L1")-COUNTIFS(개발일정표!$A:$A,$A$29,개발일정표!$B:$B,$B30,개발일정표!$H:$H,"&lt;&gt;삭제",개발일정표!$M:$M,"&lt;&gt;검수제외",개발일정표!$R:$R,"=L1",개발일정표!$S:$S,"=Y",개발일정표!$Q:$Q,"&lt;="&amp;$C$1)</f>
        <v>0</v>
      </c>
      <c r="P30" s="60">
        <f t="shared" ref="P30:P32" si="102">IF(K30=0, 0,(L30+M30)/K30)</f>
        <v>0</v>
      </c>
      <c r="Q30" s="60">
        <f t="shared" ref="Q30:Q32" si="103">IF(C30=0,0,(L30+M30)/C30)</f>
        <v>0</v>
      </c>
      <c r="R30" s="58">
        <f>COUNTIFS(개발일정표!$A:$A,$A$29,개발일정표!$B:$B,$B30,개발일정표!$H:$H,"&lt;&gt;삭제",개발일정표!$T:$T,"&lt;&gt;검수제외")</f>
        <v>2</v>
      </c>
      <c r="S30" s="58">
        <f>COUNTIFS(개발일정표!$A:$A,$A$29,개발일정표!$B:$B,$B30,개발일정표!$H:$H,"&lt;&gt;삭제",개발일정표!$T:$T,"&lt;&gt;검수제외",개발일정표!$V:$V,"&lt;="&amp;$C$1)</f>
        <v>0</v>
      </c>
      <c r="T30" s="58">
        <f>COUNTIFS(개발일정표!$A:$A,$A$29,개발일정표!$B:$B,$B30,개발일정표!$H:$H,"&lt;&gt;삭제",개발일정표!$T:$T,"&lt;&gt;검수제외",개발일정표!$Y:$Y,"=L3",개발일정표!$X:$X,"&lt;="&amp;$C$1)+COUNTIFS(개발일정표!$A:$A,$A$29,개발일정표!$B:$B,$B30,개발일정표!$H:$H,"&lt;&gt;삭제",개발일정표!$T:$T,"&lt;&gt;검수제외",개발일정표!$Y:$Y,"=L1",개발일정표!$Z:$Z,"=Y",개발일정표!$X:$X,"&lt;="&amp;$C$1)+COUNTIFS(개발일정표!$A:$A,$A$29,개발일정표!$B:$B,$B30,개발일정표!$H:$H,"&lt;&gt;삭제",개발일정표!$T:$T,"&lt;&gt;검수제외",개발일정표!$Y:$Y,"=L2",개발일정표!$Z:$Z,"=Y",개발일정표!$X:$X,"&lt;="&amp;$C$1)</f>
        <v>0</v>
      </c>
      <c r="U30" s="58">
        <f>COUNTIFS(개발일정표!$A:$A,$A$29,개발일정표!$B:$B,$B30,개발일정표!$H:$H,"&lt;&gt;삭제",개발일정표!$T:$T,"&lt;&gt;검수제외",개발일정표!$Y:$Y,"=L2")-COUNTIFS(개발일정표!$A:$A,$A$29,개발일정표!$B:$B,$B30,개발일정표!$H:$H,"&lt;&gt;삭제",개발일정표!$T:$T,"&lt;&gt;검수제외",개발일정표!$Y:$Y,"=L2",개발일정표!$Z:$Z,"=Y",개발일정표!$X:$X,"&lt;="&amp;$C$1)</f>
        <v>0</v>
      </c>
      <c r="V30" s="59">
        <f t="shared" ref="V30:V32" si="104">S30-(T30+U30)</f>
        <v>0</v>
      </c>
      <c r="W30" s="58">
        <f>COUNTIFS(개발일정표!$A:$A,$A$29,개발일정표!$B:$B,$B30,개발일정표!$H:$H,"&lt;&gt;삭제",개발일정표!$T:$T,"&lt;&gt;검수제외",개발일정표!$Y:$Y,"=L1")-COUNTIFS(개발일정표!$A:$A,$A$29,개발일정표!$B:$B,$B30,개발일정표!$H:$H,"&lt;&gt;삭제",개발일정표!$T:$T,"&lt;&gt;검수제외",개발일정표!$Y:$Y,"=L1",개발일정표!$Z:$Z,"=Y",개발일정표!$X:$X,"&lt;="&amp;$C$1)</f>
        <v>0</v>
      </c>
      <c r="X30" s="60">
        <f t="shared" ref="X30:X32" si="105">IF(S30=0, 0,(T30+U30)/S30)</f>
        <v>0</v>
      </c>
      <c r="Y30" s="60">
        <f t="shared" ref="Y30:Y32" si="106">IF(R30=0,0,(T30+U30)/R30)</f>
        <v>0</v>
      </c>
      <c r="Z30" s="58">
        <f>COUNTIFS(개발일정표!$A:$A,$A$29,개발일정표!$B:$B,$B30,개발일정표!$H:$H,"&lt;&gt;삭제",개발일정표!$AA:$AA,"&lt;&gt;검수제외")</f>
        <v>2</v>
      </c>
      <c r="AA30" s="58">
        <f>COUNTIFS(개발일정표!$A:$A,$A$29,개발일정표!$B:$B,$B30,개발일정표!$H:$H,"&lt;&gt;삭제",개발일정표!$AA:$AA,"&lt;&gt;검수제외",개발일정표!$AC:$AC,"&lt;="&amp;$C$1)</f>
        <v>0</v>
      </c>
      <c r="AB30" s="58">
        <f>COUNTIFS(개발일정표!$A:$A,$A$29,개발일정표!$B:$B,$B30,개발일정표!$H:$H,"&lt;&gt;삭제",개발일정표!$AA:$AA,"&lt;&gt;검수제외",개발일정표!$AF:$AF,"=L3",개발일정표!$AE:$AE,"&lt;="&amp;$C$1)+COUNTIFS(개발일정표!$A:$A,$A$29,개발일정표!$B:$B,$B30,개발일정표!$H:$H,"&lt;&gt;삭제",개발일정표!$AA:$AA,"&lt;&gt;검수제외",개발일정표!$AF:$AF,"=L1",개발일정표!$AG:$AG,"=Y",개발일정표!$AE:$AE,"&lt;="&amp;$C$1)+COUNTIFS(개발일정표!$A:$A,$A$29,개발일정표!$B:$B,$B30,개발일정표!$H:$H,"&lt;&gt;삭제",개발일정표!$AA:$AA,"&lt;&gt;검수제외",개발일정표!$AF:$AF,"=L2",개발일정표!$AG:$AG,"=Y",개발일정표!$AE:$AE,"&lt;="&amp;$C$1)</f>
        <v>0</v>
      </c>
      <c r="AC30" s="58">
        <f>COUNTIFS(개발일정표!$A:$A,$A$29,개발일정표!$B:$B,$B30,개발일정표!$H:$H,"&lt;&gt;삭제",개발일정표!$AA:$AA,"&lt;&gt;검수제외",개발일정표!$AF:$AF,"=L2")-COUNTIFS(개발일정표!$A:$A,$A$29,개발일정표!$B:$B,$B30,개발일정표!$H:$H,"&lt;&gt;삭제",개발일정표!$AA:$AA,"&lt;&gt;검수제외",개발일정표!$AF:$AF,"=L2",개발일정표!$AG:$AG,"=Y",개발일정표!$AE:$AE,"&lt;="&amp;$C$1)</f>
        <v>0</v>
      </c>
      <c r="AD30" s="59">
        <f t="shared" ref="AD30:AD32" si="107">AA30-(AB30+AC30)</f>
        <v>0</v>
      </c>
      <c r="AE30" s="58">
        <f>COUNTIFS(개발일정표!$A:$A,$A$29,개발일정표!$B:$B,$B30,개발일정표!$H:$H,"&lt;&gt;삭제",개발일정표!$AA:$AA,"&lt;&gt;검수제외",개발일정표!$AF:$AF,"=L1")-COUNTIFS(개발일정표!$A:$A,$A$29,개발일정표!$B:$B,$B30,개발일정표!$H:$H,"&lt;&gt;삭제",개발일정표!$AA:$AA,"&lt;&gt;검수제외",개발일정표!$AF:$AF,"=L1",개발일정표!$AG:$AG,"=Y",개발일정표!$AE:$AE,"&lt;="&amp;$C$1)</f>
        <v>0</v>
      </c>
      <c r="AF30" s="60">
        <f t="shared" ref="AF30:AF32" si="108">IF(AA30=0, 0,(AB30+AC30)/AA30)</f>
        <v>0</v>
      </c>
      <c r="AG30" s="60">
        <f t="shared" ref="AG30:AG32" si="109">IF(Z30=0,0,(AB30+AC30)/Z30)</f>
        <v>0</v>
      </c>
      <c r="AH30" s="58">
        <f>COUNTIFS(개발일정표!$A:$A,$A$29,개발일정표!$B:$B,$B30,개발일정표!$H:$H,"&lt;&gt;삭제",개발일정표!$J:$J,"&lt;&gt;미정")</f>
        <v>0</v>
      </c>
      <c r="AI30" s="58">
        <f>COUNTIFS(개발일정표!$A:$A,$A$29,개발일정표!$B:$B,$B30,개발일정표!$H:$H,"&lt;&gt;삭제",개발일정표!$J:$J,"=미정")</f>
        <v>2</v>
      </c>
    </row>
    <row r="31" spans="1:35" s="56" customFormat="1" ht="14.25" customHeight="1">
      <c r="A31" s="158"/>
      <c r="B31" s="75" t="s">
        <v>440</v>
      </c>
      <c r="C31" s="58">
        <f>COUNTIFS(개발일정표!$A:$A,$A$29,개발일정표!$B:$B,$B31,개발일정표!$H:$H,"&lt;&gt;삭제")</f>
        <v>6</v>
      </c>
      <c r="D31" s="58">
        <f>COUNTIFS(개발일정표!$A:$A,$A$29,개발일정표!$B:$B,$B31,개발일정표!$H:$H,"&lt;&gt;삭제",개발일정표!$J:$J,"&lt;="&amp;$C$1)</f>
        <v>0</v>
      </c>
      <c r="E31" s="58">
        <f>COUNTIFS(개발일정표!$A:$A,$A$29,개발일정표!$B:$B,$B31,개발일정표!$H:$H,"&lt;&gt;삭제",개발일정표!$L:$L,"&lt;="&amp;$C$1)</f>
        <v>0</v>
      </c>
      <c r="F31" s="59">
        <f t="shared" si="98"/>
        <v>0</v>
      </c>
      <c r="G31" s="59">
        <f>COUNTIFS(개발일정표!$A:$A,$A$29,개발일정표!$B:$B,$B31,개발일정표!$H:$H,"&lt;&gt;삭제",개발일정표!$K:$K,"&lt;="&amp;$C$1,개발일정표!$L:$L,"")</f>
        <v>0</v>
      </c>
      <c r="H31" s="59">
        <f>COUNTIFS(개발일정표!$A:$A,$A$29,개발일정표!$B:$B,$B31,개발일정표!$H:$H,"&lt;&gt;삭제",개발일정표!$J:$J,"="&amp;$C$1)</f>
        <v>0</v>
      </c>
      <c r="I31" s="60">
        <f t="shared" si="99"/>
        <v>0</v>
      </c>
      <c r="J31" s="60">
        <f t="shared" si="100"/>
        <v>0</v>
      </c>
      <c r="K31" s="58">
        <f>COUNTIFS(개발일정표!$A:$A,$A$29,개발일정표!$B:$B,$B31,개발일정표!$H:$H,"&lt;&gt;삭제",개발일정표!$M:$M,"&lt;&gt;검수제외",개발일정표!$O:$O,"&lt;="&amp;$C$1)</f>
        <v>0</v>
      </c>
      <c r="L31" s="58">
        <f>COUNTIFS(개발일정표!$A:$A,$A$29,개발일정표!$B:$B,$B31,개발일정표!$H:$H,"&lt;&gt;삭제",개발일정표!$M:$M,"&lt;&gt;검수제외",개발일정표!$R:$R,"=L3",개발일정표!$Q:$Q,"&lt;="&amp;$C$1)+COUNTIFS(개발일정표!$A:$A,$A$29,개발일정표!$B:$B,$B31,개발일정표!$H:$H,"&lt;&gt;삭제",개발일정표!$M:$M,"&lt;&gt;검수제외",개발일정표!$R:$R,"=L1",개발일정표!$S:$S,"=Y",개발일정표!$Q:$Q,"&lt;="&amp;$C$1)+COUNTIFS(개발일정표!$A:$A,$A$29,개발일정표!$B:$B,$B31,개발일정표!$H:$H,"&lt;&gt;삭제",개발일정표!$M:$M,"&lt;&gt;검수제외",개발일정표!$R:$R,"=L2",개발일정표!$S:$S,"=Y",개발일정표!$Q:$Q,"&lt;="&amp;$C$1)</f>
        <v>0</v>
      </c>
      <c r="M31" s="58">
        <f>COUNTIFS(개발일정표!$A:$A,$A$29,개발일정표!$B:$B,$B31,개발일정표!$H:$H,"&lt;&gt;삭제",개발일정표!$M:$M,"&lt;&gt;검수제외",개발일정표!$R:$R,"=L2")-COUNTIFS(개발일정표!$A:$A,$A$29,개발일정표!$B:$B,$B31,개발일정표!$H:$H,"&lt;&gt;삭제",개발일정표!$M:$M,"&lt;&gt;검수제외",개발일정표!$R:$R,"=L2",개발일정표!$S:$S,"=Y",개발일정표!$Q:$Q,"&lt;="&amp;$C$1)</f>
        <v>0</v>
      </c>
      <c r="N31" s="59">
        <f t="shared" si="101"/>
        <v>0</v>
      </c>
      <c r="O31" s="58">
        <f>COUNTIFS(개발일정표!$A:$A,$A$29,개발일정표!$B:$B,$B31,개발일정표!$H:$H,"&lt;&gt;삭제",개발일정표!$M:$M,"&lt;&gt;검수제외",개발일정표!$R:$R,"=L1")-COUNTIFS(개발일정표!$A:$A,$A$29,개발일정표!$B:$B,$B31,개발일정표!$H:$H,"&lt;&gt;삭제",개발일정표!$M:$M,"&lt;&gt;검수제외",개발일정표!$R:$R,"=L1",개발일정표!$S:$S,"=Y",개발일정표!$Q:$Q,"&lt;="&amp;$C$1)</f>
        <v>0</v>
      </c>
      <c r="P31" s="60">
        <f t="shared" si="102"/>
        <v>0</v>
      </c>
      <c r="Q31" s="60">
        <f t="shared" si="103"/>
        <v>0</v>
      </c>
      <c r="R31" s="58">
        <f>COUNTIFS(개발일정표!$A:$A,$A$29,개발일정표!$B:$B,$B31,개발일정표!$H:$H,"&lt;&gt;삭제",개발일정표!$T:$T,"&lt;&gt;검수제외")</f>
        <v>6</v>
      </c>
      <c r="S31" s="58">
        <f>COUNTIFS(개발일정표!$A:$A,$A$29,개발일정표!$B:$B,$B31,개발일정표!$H:$H,"&lt;&gt;삭제",개발일정표!$T:$T,"&lt;&gt;검수제외",개발일정표!$V:$V,"&lt;="&amp;$C$1)</f>
        <v>0</v>
      </c>
      <c r="T31" s="58">
        <f>COUNTIFS(개발일정표!$A:$A,$A$29,개발일정표!$B:$B,$B31,개발일정표!$H:$H,"&lt;&gt;삭제",개발일정표!$T:$T,"&lt;&gt;검수제외",개발일정표!$Y:$Y,"=L3",개발일정표!$X:$X,"&lt;="&amp;$C$1)+COUNTIFS(개발일정표!$A:$A,$A$29,개발일정표!$B:$B,$B31,개발일정표!$H:$H,"&lt;&gt;삭제",개발일정표!$T:$T,"&lt;&gt;검수제외",개발일정표!$Y:$Y,"=L1",개발일정표!$Z:$Z,"=Y",개발일정표!$X:$X,"&lt;="&amp;$C$1)+COUNTIFS(개발일정표!$A:$A,$A$29,개발일정표!$B:$B,$B31,개발일정표!$H:$H,"&lt;&gt;삭제",개발일정표!$T:$T,"&lt;&gt;검수제외",개발일정표!$Y:$Y,"=L2",개발일정표!$Z:$Z,"=Y",개발일정표!$X:$X,"&lt;="&amp;$C$1)</f>
        <v>0</v>
      </c>
      <c r="U31" s="58">
        <f>COUNTIFS(개발일정표!$A:$A,$A$29,개발일정표!$B:$B,$B31,개발일정표!$H:$H,"&lt;&gt;삭제",개발일정표!$T:$T,"&lt;&gt;검수제외",개발일정표!$Y:$Y,"=L2")-COUNTIFS(개발일정표!$A:$A,$A$29,개발일정표!$B:$B,$B31,개발일정표!$H:$H,"&lt;&gt;삭제",개발일정표!$T:$T,"&lt;&gt;검수제외",개발일정표!$Y:$Y,"=L2",개발일정표!$Z:$Z,"=Y",개발일정표!$X:$X,"&lt;="&amp;$C$1)</f>
        <v>0</v>
      </c>
      <c r="V31" s="59">
        <f t="shared" si="104"/>
        <v>0</v>
      </c>
      <c r="W31" s="58">
        <f>COUNTIFS(개발일정표!$A:$A,$A$29,개발일정표!$B:$B,$B31,개발일정표!$H:$H,"&lt;&gt;삭제",개발일정표!$T:$T,"&lt;&gt;검수제외",개발일정표!$Y:$Y,"=L1")-COUNTIFS(개발일정표!$A:$A,$A$29,개발일정표!$B:$B,$B31,개발일정표!$H:$H,"&lt;&gt;삭제",개발일정표!$T:$T,"&lt;&gt;검수제외",개발일정표!$Y:$Y,"=L1",개발일정표!$Z:$Z,"=Y",개발일정표!$X:$X,"&lt;="&amp;$C$1)</f>
        <v>0</v>
      </c>
      <c r="X31" s="60">
        <f t="shared" si="105"/>
        <v>0</v>
      </c>
      <c r="Y31" s="60">
        <f t="shared" si="106"/>
        <v>0</v>
      </c>
      <c r="Z31" s="58">
        <f>COUNTIFS(개발일정표!$A:$A,$A$29,개발일정표!$B:$B,$B31,개발일정표!$H:$H,"&lt;&gt;삭제",개발일정표!$AA:$AA,"&lt;&gt;검수제외")</f>
        <v>6</v>
      </c>
      <c r="AA31" s="58">
        <f>COUNTIFS(개발일정표!$A:$A,$A$29,개발일정표!$B:$B,$B31,개발일정표!$H:$H,"&lt;&gt;삭제",개발일정표!$AA:$AA,"&lt;&gt;검수제외",개발일정표!$AC:$AC,"&lt;="&amp;$C$1)</f>
        <v>0</v>
      </c>
      <c r="AB31" s="58">
        <f>COUNTIFS(개발일정표!$A:$A,$A$29,개발일정표!$B:$B,$B31,개발일정표!$H:$H,"&lt;&gt;삭제",개발일정표!$AA:$AA,"&lt;&gt;검수제외",개발일정표!$AF:$AF,"=L3",개발일정표!$AE:$AE,"&lt;="&amp;$C$1)+COUNTIFS(개발일정표!$A:$A,$A$29,개발일정표!$B:$B,$B31,개발일정표!$H:$H,"&lt;&gt;삭제",개발일정표!$AA:$AA,"&lt;&gt;검수제외",개발일정표!$AF:$AF,"=L1",개발일정표!$AG:$AG,"=Y",개발일정표!$AE:$AE,"&lt;="&amp;$C$1)+COUNTIFS(개발일정표!$A:$A,$A$29,개발일정표!$B:$B,$B31,개발일정표!$H:$H,"&lt;&gt;삭제",개발일정표!$AA:$AA,"&lt;&gt;검수제외",개발일정표!$AF:$AF,"=L2",개발일정표!$AG:$AG,"=Y",개발일정표!$AE:$AE,"&lt;="&amp;$C$1)</f>
        <v>0</v>
      </c>
      <c r="AC31" s="58">
        <f>COUNTIFS(개발일정표!$A:$A,$A$29,개발일정표!$B:$B,$B31,개발일정표!$H:$H,"&lt;&gt;삭제",개발일정표!$AA:$AA,"&lt;&gt;검수제외",개발일정표!$AF:$AF,"=L2")-COUNTIFS(개발일정표!$A:$A,$A$29,개발일정표!$B:$B,$B31,개발일정표!$H:$H,"&lt;&gt;삭제",개발일정표!$AA:$AA,"&lt;&gt;검수제외",개발일정표!$AF:$AF,"=L2",개발일정표!$AG:$AG,"=Y",개발일정표!$AE:$AE,"&lt;="&amp;$C$1)</f>
        <v>0</v>
      </c>
      <c r="AD31" s="59">
        <f t="shared" si="107"/>
        <v>0</v>
      </c>
      <c r="AE31" s="58">
        <f>COUNTIFS(개발일정표!$A:$A,$A$29,개발일정표!$B:$B,$B31,개발일정표!$H:$H,"&lt;&gt;삭제",개발일정표!$AA:$AA,"&lt;&gt;검수제외",개발일정표!$AF:$AF,"=L1")-COUNTIFS(개발일정표!$A:$A,$A$29,개발일정표!$B:$B,$B31,개발일정표!$H:$H,"&lt;&gt;삭제",개발일정표!$AA:$AA,"&lt;&gt;검수제외",개발일정표!$AF:$AF,"=L1",개발일정표!$AG:$AG,"=Y",개발일정표!$AE:$AE,"&lt;="&amp;$C$1)</f>
        <v>0</v>
      </c>
      <c r="AF31" s="60">
        <f t="shared" si="108"/>
        <v>0</v>
      </c>
      <c r="AG31" s="60">
        <f t="shared" si="109"/>
        <v>0</v>
      </c>
      <c r="AH31" s="58">
        <f>COUNTIFS(개발일정표!$A:$A,$A$29,개발일정표!$B:$B,$B31,개발일정표!$H:$H,"&lt;&gt;삭제",개발일정표!$J:$J,"&lt;&gt;미정")</f>
        <v>0</v>
      </c>
      <c r="AI31" s="58">
        <f>COUNTIFS(개발일정표!$A:$A,$A$29,개발일정표!$B:$B,$B31,개발일정표!$H:$H,"&lt;&gt;삭제",개발일정표!$J:$J,"=미정")</f>
        <v>6</v>
      </c>
    </row>
    <row r="32" spans="1:35" s="56" customFormat="1" ht="14.25" customHeight="1">
      <c r="A32" s="158"/>
      <c r="B32" s="75" t="s">
        <v>441</v>
      </c>
      <c r="C32" s="58">
        <f>COUNTIFS(개발일정표!$A:$A,$A$29,개발일정표!$B:$B,$B32,개발일정표!$H:$H,"&lt;&gt;삭제")</f>
        <v>3</v>
      </c>
      <c r="D32" s="58">
        <f>COUNTIFS(개발일정표!$A:$A,$A$29,개발일정표!$B:$B,$B32,개발일정표!$H:$H,"&lt;&gt;삭제",개발일정표!$J:$J,"&lt;="&amp;$C$1)</f>
        <v>0</v>
      </c>
      <c r="E32" s="58">
        <f>COUNTIFS(개발일정표!$A:$A,$A$29,개발일정표!$B:$B,$B32,개발일정표!$H:$H,"&lt;&gt;삭제",개발일정표!$L:$L,"&lt;="&amp;$C$1)</f>
        <v>0</v>
      </c>
      <c r="F32" s="59">
        <f t="shared" si="98"/>
        <v>0</v>
      </c>
      <c r="G32" s="59">
        <f>COUNTIFS(개발일정표!$A:$A,$A$29,개발일정표!$B:$B,$B32,개발일정표!$H:$H,"&lt;&gt;삭제",개발일정표!$K:$K,"&lt;="&amp;$C$1,개발일정표!$L:$L,"")</f>
        <v>0</v>
      </c>
      <c r="H32" s="59">
        <f>COUNTIFS(개발일정표!$A:$A,$A$29,개발일정표!$B:$B,$B32,개발일정표!$H:$H,"&lt;&gt;삭제",개발일정표!$J:$J,"="&amp;$C$1)</f>
        <v>0</v>
      </c>
      <c r="I32" s="60">
        <f t="shared" si="99"/>
        <v>0</v>
      </c>
      <c r="J32" s="60">
        <f t="shared" si="100"/>
        <v>0</v>
      </c>
      <c r="K32" s="58">
        <f>COUNTIFS(개발일정표!$A:$A,$A$29,개발일정표!$B:$B,$B32,개발일정표!$H:$H,"&lt;&gt;삭제",개발일정표!$M:$M,"&lt;&gt;검수제외",개발일정표!$O:$O,"&lt;="&amp;$C$1)</f>
        <v>0</v>
      </c>
      <c r="L32" s="58">
        <f>COUNTIFS(개발일정표!$A:$A,$A$29,개발일정표!$B:$B,$B32,개발일정표!$H:$H,"&lt;&gt;삭제",개발일정표!$M:$M,"&lt;&gt;검수제외",개발일정표!$R:$R,"=L3",개발일정표!$Q:$Q,"&lt;="&amp;$C$1)+COUNTIFS(개발일정표!$A:$A,$A$29,개발일정표!$B:$B,$B32,개발일정표!$H:$H,"&lt;&gt;삭제",개발일정표!$M:$M,"&lt;&gt;검수제외",개발일정표!$R:$R,"=L1",개발일정표!$S:$S,"=Y",개발일정표!$Q:$Q,"&lt;="&amp;$C$1)+COUNTIFS(개발일정표!$A:$A,$A$29,개발일정표!$B:$B,$B32,개발일정표!$H:$H,"&lt;&gt;삭제",개발일정표!$M:$M,"&lt;&gt;검수제외",개발일정표!$R:$R,"=L2",개발일정표!$S:$S,"=Y",개발일정표!$Q:$Q,"&lt;="&amp;$C$1)</f>
        <v>0</v>
      </c>
      <c r="M32" s="58">
        <f>COUNTIFS(개발일정표!$A:$A,$A$29,개발일정표!$B:$B,$B32,개발일정표!$H:$H,"&lt;&gt;삭제",개발일정표!$M:$M,"&lt;&gt;검수제외",개발일정표!$R:$R,"=L2")-COUNTIFS(개발일정표!$A:$A,$A$29,개발일정표!$B:$B,$B32,개발일정표!$H:$H,"&lt;&gt;삭제",개발일정표!$M:$M,"&lt;&gt;검수제외",개발일정표!$R:$R,"=L2",개발일정표!$S:$S,"=Y",개발일정표!$Q:$Q,"&lt;="&amp;$C$1)</f>
        <v>0</v>
      </c>
      <c r="N32" s="59">
        <f t="shared" si="101"/>
        <v>0</v>
      </c>
      <c r="O32" s="58">
        <f>COUNTIFS(개발일정표!$A:$A,$A$29,개발일정표!$B:$B,$B32,개발일정표!$H:$H,"&lt;&gt;삭제",개발일정표!$M:$M,"&lt;&gt;검수제외",개발일정표!$R:$R,"=L1")-COUNTIFS(개발일정표!$A:$A,$A$29,개발일정표!$B:$B,$B32,개발일정표!$H:$H,"&lt;&gt;삭제",개발일정표!$M:$M,"&lt;&gt;검수제외",개발일정표!$R:$R,"=L1",개발일정표!$S:$S,"=Y",개발일정표!$Q:$Q,"&lt;="&amp;$C$1)</f>
        <v>0</v>
      </c>
      <c r="P32" s="60">
        <f t="shared" si="102"/>
        <v>0</v>
      </c>
      <c r="Q32" s="60">
        <f t="shared" si="103"/>
        <v>0</v>
      </c>
      <c r="R32" s="58">
        <f>COUNTIFS(개발일정표!$A:$A,$A$29,개발일정표!$B:$B,$B32,개발일정표!$H:$H,"&lt;&gt;삭제",개발일정표!$T:$T,"&lt;&gt;검수제외")</f>
        <v>3</v>
      </c>
      <c r="S32" s="58">
        <f>COUNTIFS(개발일정표!$A:$A,$A$29,개발일정표!$B:$B,$B32,개발일정표!$H:$H,"&lt;&gt;삭제",개발일정표!$T:$T,"&lt;&gt;검수제외",개발일정표!$V:$V,"&lt;="&amp;$C$1)</f>
        <v>0</v>
      </c>
      <c r="T32" s="58">
        <f>COUNTIFS(개발일정표!$A:$A,$A$29,개발일정표!$B:$B,$B32,개발일정표!$H:$H,"&lt;&gt;삭제",개발일정표!$T:$T,"&lt;&gt;검수제외",개발일정표!$Y:$Y,"=L3",개발일정표!$X:$X,"&lt;="&amp;$C$1)+COUNTIFS(개발일정표!$A:$A,$A$29,개발일정표!$B:$B,$B32,개발일정표!$H:$H,"&lt;&gt;삭제",개발일정표!$T:$T,"&lt;&gt;검수제외",개발일정표!$Y:$Y,"=L1",개발일정표!$Z:$Z,"=Y",개발일정표!$X:$X,"&lt;="&amp;$C$1)+COUNTIFS(개발일정표!$A:$A,$A$29,개발일정표!$B:$B,$B32,개발일정표!$H:$H,"&lt;&gt;삭제",개발일정표!$T:$T,"&lt;&gt;검수제외",개발일정표!$Y:$Y,"=L2",개발일정표!$Z:$Z,"=Y",개발일정표!$X:$X,"&lt;="&amp;$C$1)</f>
        <v>0</v>
      </c>
      <c r="U32" s="58">
        <f>COUNTIFS(개발일정표!$A:$A,$A$29,개발일정표!$B:$B,$B32,개발일정표!$H:$H,"&lt;&gt;삭제",개발일정표!$T:$T,"&lt;&gt;검수제외",개발일정표!$Y:$Y,"=L2")-COUNTIFS(개발일정표!$A:$A,$A$29,개발일정표!$B:$B,$B32,개발일정표!$H:$H,"&lt;&gt;삭제",개발일정표!$T:$T,"&lt;&gt;검수제외",개발일정표!$Y:$Y,"=L2",개발일정표!$Z:$Z,"=Y",개발일정표!$X:$X,"&lt;="&amp;$C$1)</f>
        <v>0</v>
      </c>
      <c r="V32" s="59">
        <f t="shared" si="104"/>
        <v>0</v>
      </c>
      <c r="W32" s="58">
        <f>COUNTIFS(개발일정표!$A:$A,$A$29,개발일정표!$B:$B,$B32,개발일정표!$H:$H,"&lt;&gt;삭제",개발일정표!$T:$T,"&lt;&gt;검수제외",개발일정표!$Y:$Y,"=L1")-COUNTIFS(개발일정표!$A:$A,$A$29,개발일정표!$B:$B,$B32,개발일정표!$H:$H,"&lt;&gt;삭제",개발일정표!$T:$T,"&lt;&gt;검수제외",개발일정표!$Y:$Y,"=L1",개발일정표!$Z:$Z,"=Y",개발일정표!$X:$X,"&lt;="&amp;$C$1)</f>
        <v>0</v>
      </c>
      <c r="X32" s="60">
        <f t="shared" si="105"/>
        <v>0</v>
      </c>
      <c r="Y32" s="60">
        <f t="shared" si="106"/>
        <v>0</v>
      </c>
      <c r="Z32" s="58">
        <f>COUNTIFS(개발일정표!$A:$A,$A$29,개발일정표!$B:$B,$B32,개발일정표!$H:$H,"&lt;&gt;삭제",개발일정표!$AA:$AA,"&lt;&gt;검수제외")</f>
        <v>3</v>
      </c>
      <c r="AA32" s="58">
        <f>COUNTIFS(개발일정표!$A:$A,$A$29,개발일정표!$B:$B,$B32,개발일정표!$H:$H,"&lt;&gt;삭제",개발일정표!$AA:$AA,"&lt;&gt;검수제외",개발일정표!$AC:$AC,"&lt;="&amp;$C$1)</f>
        <v>0</v>
      </c>
      <c r="AB32" s="58">
        <f>COUNTIFS(개발일정표!$A:$A,$A$29,개발일정표!$B:$B,$B32,개발일정표!$H:$H,"&lt;&gt;삭제",개발일정표!$AA:$AA,"&lt;&gt;검수제외",개발일정표!$AF:$AF,"=L3",개발일정표!$AE:$AE,"&lt;="&amp;$C$1)+COUNTIFS(개발일정표!$A:$A,$A$29,개발일정표!$B:$B,$B32,개발일정표!$H:$H,"&lt;&gt;삭제",개발일정표!$AA:$AA,"&lt;&gt;검수제외",개발일정표!$AF:$AF,"=L1",개발일정표!$AG:$AG,"=Y",개발일정표!$AE:$AE,"&lt;="&amp;$C$1)+COUNTIFS(개발일정표!$A:$A,$A$29,개발일정표!$B:$B,$B32,개발일정표!$H:$H,"&lt;&gt;삭제",개발일정표!$AA:$AA,"&lt;&gt;검수제외",개발일정표!$AF:$AF,"=L2",개발일정표!$AG:$AG,"=Y",개발일정표!$AE:$AE,"&lt;="&amp;$C$1)</f>
        <v>0</v>
      </c>
      <c r="AC32" s="58">
        <f>COUNTIFS(개발일정표!$A:$A,$A$29,개발일정표!$B:$B,$B32,개발일정표!$H:$H,"&lt;&gt;삭제",개발일정표!$AA:$AA,"&lt;&gt;검수제외",개발일정표!$AF:$AF,"=L2")-COUNTIFS(개발일정표!$A:$A,$A$29,개발일정표!$B:$B,$B32,개발일정표!$H:$H,"&lt;&gt;삭제",개발일정표!$AA:$AA,"&lt;&gt;검수제외",개발일정표!$AF:$AF,"=L2",개발일정표!$AG:$AG,"=Y",개발일정표!$AE:$AE,"&lt;="&amp;$C$1)</f>
        <v>0</v>
      </c>
      <c r="AD32" s="59">
        <f t="shared" si="107"/>
        <v>0</v>
      </c>
      <c r="AE32" s="58">
        <f>COUNTIFS(개발일정표!$A:$A,$A$29,개발일정표!$B:$B,$B32,개발일정표!$H:$H,"&lt;&gt;삭제",개발일정표!$AA:$AA,"&lt;&gt;검수제외",개발일정표!$AF:$AF,"=L1")-COUNTIFS(개발일정표!$A:$A,$A$29,개발일정표!$B:$B,$B32,개발일정표!$H:$H,"&lt;&gt;삭제",개발일정표!$AA:$AA,"&lt;&gt;검수제외",개발일정표!$AF:$AF,"=L1",개발일정표!$AG:$AG,"=Y",개발일정표!$AE:$AE,"&lt;="&amp;$C$1)</f>
        <v>0</v>
      </c>
      <c r="AF32" s="60">
        <f t="shared" si="108"/>
        <v>0</v>
      </c>
      <c r="AG32" s="60">
        <f t="shared" si="109"/>
        <v>0</v>
      </c>
      <c r="AH32" s="58">
        <f>COUNTIFS(개발일정표!$A:$A,$A$29,개발일정표!$B:$B,$B32,개발일정표!$H:$H,"&lt;&gt;삭제",개발일정표!$J:$J,"&lt;&gt;미정")</f>
        <v>0</v>
      </c>
      <c r="AI32" s="58">
        <f>COUNTIFS(개발일정표!$A:$A,$A$29,개발일정표!$B:$B,$B32,개발일정표!$H:$H,"&lt;&gt;삭제",개발일정표!$J:$J,"=미정")</f>
        <v>3</v>
      </c>
    </row>
    <row r="33" spans="1:35" ht="14.25" customHeight="1">
      <c r="A33" s="158"/>
      <c r="B33" s="15" t="s">
        <v>57</v>
      </c>
      <c r="C33" s="16">
        <f t="shared" ref="C33:H33" si="110">SUM(C29:C32)</f>
        <v>13</v>
      </c>
      <c r="D33" s="16">
        <f t="shared" si="110"/>
        <v>0</v>
      </c>
      <c r="E33" s="16">
        <f t="shared" si="110"/>
        <v>0</v>
      </c>
      <c r="F33" s="16">
        <f t="shared" si="110"/>
        <v>0</v>
      </c>
      <c r="G33" s="36">
        <f t="shared" si="110"/>
        <v>0</v>
      </c>
      <c r="H33" s="36">
        <f t="shared" si="110"/>
        <v>0</v>
      </c>
      <c r="I33" s="21">
        <f t="shared" ref="I33:I34" si="111">IF(D33=0,0,E33/D33)</f>
        <v>0</v>
      </c>
      <c r="J33" s="21">
        <f t="shared" ref="J33:J34" si="112">IF(C33=0,0,E33/C33)</f>
        <v>0</v>
      </c>
      <c r="K33" s="16">
        <f>SUM(K29:K32)</f>
        <v>0</v>
      </c>
      <c r="L33" s="16">
        <f>SUM(L29:L32)</f>
        <v>0</v>
      </c>
      <c r="M33" s="16">
        <f>SUM(M29:M32)</f>
        <v>0</v>
      </c>
      <c r="N33" s="16">
        <f>SUM(N29:N32)</f>
        <v>0</v>
      </c>
      <c r="O33" s="16">
        <f>SUM(O29:O32)</f>
        <v>0</v>
      </c>
      <c r="P33" s="21">
        <f t="shared" ref="P33:P34" si="113">IF(K33=0, 0,(L33+M33)/K33)</f>
        <v>0</v>
      </c>
      <c r="Q33" s="21">
        <f t="shared" ref="Q33:Q34" si="114">IF(C33=0,0,(L33+M33)/C33)</f>
        <v>0</v>
      </c>
      <c r="R33" s="16">
        <f t="shared" ref="R33:W33" si="115">SUM(R29:R32)</f>
        <v>13</v>
      </c>
      <c r="S33" s="16">
        <f t="shared" si="115"/>
        <v>0</v>
      </c>
      <c r="T33" s="16">
        <f t="shared" si="115"/>
        <v>0</v>
      </c>
      <c r="U33" s="16">
        <f t="shared" si="115"/>
        <v>0</v>
      </c>
      <c r="V33" s="16">
        <f t="shared" si="115"/>
        <v>0</v>
      </c>
      <c r="W33" s="16">
        <f t="shared" si="115"/>
        <v>0</v>
      </c>
      <c r="X33" s="21">
        <f t="shared" ref="X33:X34" si="116">IF(S33=0, 0,(T33+U33)/S33)</f>
        <v>0</v>
      </c>
      <c r="Y33" s="21">
        <f t="shared" ref="Y33:Y34" si="117">IF(R33=0,0,(T33+U33)/R33)</f>
        <v>0</v>
      </c>
      <c r="Z33" s="16">
        <f t="shared" ref="Z33:AE33" si="118">SUM(Z29:Z32)</f>
        <v>13</v>
      </c>
      <c r="AA33" s="16">
        <f t="shared" si="118"/>
        <v>0</v>
      </c>
      <c r="AB33" s="16">
        <f t="shared" si="118"/>
        <v>0</v>
      </c>
      <c r="AC33" s="16">
        <f t="shared" si="118"/>
        <v>0</v>
      </c>
      <c r="AD33" s="16">
        <f t="shared" si="118"/>
        <v>0</v>
      </c>
      <c r="AE33" s="16">
        <f t="shared" si="118"/>
        <v>0</v>
      </c>
      <c r="AF33" s="21">
        <f>IF(AA33=0,0,(AB33+AC33)/AA33)</f>
        <v>0</v>
      </c>
      <c r="AG33" s="21">
        <f t="shared" ref="AG33:AG34" si="119">IF(Z33=0,0,(AB33+AC33)/Z33)</f>
        <v>0</v>
      </c>
      <c r="AH33" s="61">
        <f t="shared" ref="AH33:AI33" si="120">SUM(AH29:AH32)</f>
        <v>0</v>
      </c>
      <c r="AI33" s="61">
        <f t="shared" si="120"/>
        <v>13</v>
      </c>
    </row>
    <row r="34" spans="1:35" ht="14.25" customHeight="1">
      <c r="A34" s="191" t="s">
        <v>87</v>
      </c>
      <c r="B34" s="192"/>
      <c r="C34" s="16">
        <f>C7+C12+C16+C18+C20+C23+C26+C33</f>
        <v>143</v>
      </c>
      <c r="D34" s="61">
        <f t="shared" ref="D34:H34" si="121">D7+D12+D16+D18+D20+D23+D26+D33</f>
        <v>18</v>
      </c>
      <c r="E34" s="61">
        <f t="shared" si="121"/>
        <v>9</v>
      </c>
      <c r="F34" s="61">
        <f t="shared" si="121"/>
        <v>9</v>
      </c>
      <c r="G34" s="61">
        <f t="shared" si="121"/>
        <v>8</v>
      </c>
      <c r="H34" s="61">
        <f t="shared" si="121"/>
        <v>2</v>
      </c>
      <c r="I34" s="21">
        <f t="shared" si="111"/>
        <v>0.5</v>
      </c>
      <c r="J34" s="21">
        <f t="shared" si="112"/>
        <v>6.2937062937062943E-2</v>
      </c>
      <c r="K34" s="61">
        <f t="shared" ref="K34" si="122">K7+K12+K16+K18+K20+K23+K26+K33</f>
        <v>0</v>
      </c>
      <c r="L34" s="61">
        <f t="shared" ref="L34" si="123">L7+L12+L16+L18+L20+L23+L26+L33</f>
        <v>0</v>
      </c>
      <c r="M34" s="61">
        <f t="shared" ref="M34" si="124">M7+M12+M16+M18+M20+M23+M26+M33</f>
        <v>0</v>
      </c>
      <c r="N34" s="61">
        <f t="shared" ref="N34" si="125">N7+N12+N16+N18+N20+N23+N26+N33</f>
        <v>0</v>
      </c>
      <c r="O34" s="61">
        <f t="shared" ref="O34" si="126">O7+O12+O16+O18+O20+O23+O26+O33</f>
        <v>0</v>
      </c>
      <c r="P34" s="21">
        <f t="shared" si="113"/>
        <v>0</v>
      </c>
      <c r="Q34" s="21">
        <f t="shared" si="114"/>
        <v>0</v>
      </c>
      <c r="R34" s="61">
        <f t="shared" ref="R34" si="127">R7+R12+R16+R18+R20+R23+R26+R33</f>
        <v>143</v>
      </c>
      <c r="S34" s="61">
        <f t="shared" ref="S34" si="128">S7+S12+S16+S18+S20+S23+S26+S33</f>
        <v>0</v>
      </c>
      <c r="T34" s="61">
        <f t="shared" ref="T34" si="129">T7+T12+T16+T18+T20+T23+T26+T33</f>
        <v>0</v>
      </c>
      <c r="U34" s="61">
        <f t="shared" ref="U34" si="130">U7+U12+U16+U18+U20+U23+U26+U33</f>
        <v>0</v>
      </c>
      <c r="V34" s="61">
        <f t="shared" ref="V34" si="131">V7+V12+V16+V18+V20+V23+V26+V33</f>
        <v>0</v>
      </c>
      <c r="W34" s="61">
        <f t="shared" ref="W34" si="132">W7+W12+W16+W18+W20+W23+W26+W33</f>
        <v>0</v>
      </c>
      <c r="X34" s="21">
        <f t="shared" si="116"/>
        <v>0</v>
      </c>
      <c r="Y34" s="21">
        <f t="shared" si="117"/>
        <v>0</v>
      </c>
      <c r="Z34" s="61">
        <f t="shared" ref="Z34" si="133">Z7+Z12+Z16+Z18+Z20+Z23+Z26+Z33</f>
        <v>143</v>
      </c>
      <c r="AA34" s="61">
        <f t="shared" ref="AA34" si="134">AA7+AA12+AA16+AA18+AA20+AA23+AA26+AA33</f>
        <v>0</v>
      </c>
      <c r="AB34" s="61">
        <f t="shared" ref="AB34" si="135">AB7+AB12+AB16+AB18+AB20+AB23+AB26+AB33</f>
        <v>0</v>
      </c>
      <c r="AC34" s="61">
        <f t="shared" ref="AC34" si="136">AC7+AC12+AC16+AC18+AC20+AC23+AC26+AC33</f>
        <v>0</v>
      </c>
      <c r="AD34" s="61">
        <f t="shared" ref="AD34" si="137">AD7+AD12+AD16+AD18+AD20+AD23+AD26+AD33</f>
        <v>0</v>
      </c>
      <c r="AE34" s="61">
        <f t="shared" ref="AE34" si="138">AE7+AE12+AE16+AE18+AE20+AE23+AE26+AE33</f>
        <v>0</v>
      </c>
      <c r="AF34" s="21">
        <f>IF(AA34=0,0,(AB34+AC34)/AA34)</f>
        <v>0</v>
      </c>
      <c r="AG34" s="21">
        <f t="shared" si="119"/>
        <v>0</v>
      </c>
      <c r="AH34" s="61">
        <f>AH7+AH12+AH16+AH18+AH20+AH23+AH26+AH33</f>
        <v>83</v>
      </c>
      <c r="AI34" s="61">
        <f>AI7+AI12+AI16+AI18+AI20+AI23+AI26+AI33</f>
        <v>60</v>
      </c>
    </row>
    <row r="35" spans="1:35">
      <c r="M35" s="70">
        <f>L34+M34</f>
        <v>0</v>
      </c>
      <c r="O35" s="70">
        <f>L34+M34+O34</f>
        <v>0</v>
      </c>
      <c r="P35" s="21">
        <f>IF(K34=0, 0,(L34+M34+O34)/K34)</f>
        <v>0</v>
      </c>
      <c r="Q35" s="21">
        <f>IF(C34=0,0,(L34+M34+O34)/C34)</f>
        <v>0</v>
      </c>
      <c r="U35" s="70">
        <f>T34+U34</f>
        <v>0</v>
      </c>
      <c r="V35" s="2"/>
      <c r="W35" s="70">
        <f>T34+U34+W34</f>
        <v>0</v>
      </c>
      <c r="X35" s="21">
        <f>IF(S34=0, 0,(T34+U34+W34)/S34)</f>
        <v>0</v>
      </c>
      <c r="Y35" s="21">
        <f>IF(R34=0,0,(T34+U34+W34)/R34)</f>
        <v>0</v>
      </c>
      <c r="AC35" s="70">
        <f>AB34+AC34</f>
        <v>0</v>
      </c>
      <c r="AD35" s="2"/>
      <c r="AE35" s="70">
        <f>AB34+AC34+AE34</f>
        <v>0</v>
      </c>
      <c r="AF35" s="21">
        <f>IF(AA34=0, 0,(AB34+AC34+AE34)/AA34)</f>
        <v>0</v>
      </c>
      <c r="AG35" s="21">
        <f>IF(Z34=0,0,(AB34+AC34+AE34)/Z34)</f>
        <v>0</v>
      </c>
    </row>
  </sheetData>
  <customSheetViews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5">
    <mergeCell ref="AH2:AH4"/>
    <mergeCell ref="AI2:AI4"/>
    <mergeCell ref="H3:H4"/>
    <mergeCell ref="G3:G4"/>
    <mergeCell ref="A34:B34"/>
    <mergeCell ref="A19:A20"/>
    <mergeCell ref="A8:A12"/>
    <mergeCell ref="A13:A16"/>
    <mergeCell ref="A21:A23"/>
    <mergeCell ref="A29:A33"/>
    <mergeCell ref="A24:A26"/>
    <mergeCell ref="A27:B27"/>
    <mergeCell ref="A17:A18"/>
    <mergeCell ref="Z2:AG2"/>
    <mergeCell ref="D3:D4"/>
    <mergeCell ref="E3:E4"/>
    <mergeCell ref="F3:F4"/>
    <mergeCell ref="I3:I4"/>
    <mergeCell ref="J3:J4"/>
    <mergeCell ref="K3:K4"/>
    <mergeCell ref="L3:M3"/>
    <mergeCell ref="AF3:AF4"/>
    <mergeCell ref="AG3:AG4"/>
    <mergeCell ref="AE3:AE4"/>
    <mergeCell ref="N3:N4"/>
    <mergeCell ref="O3:O4"/>
    <mergeCell ref="P3:P4"/>
    <mergeCell ref="Q3:Q4"/>
    <mergeCell ref="R3:R4"/>
    <mergeCell ref="A5:A7"/>
    <mergeCell ref="Z3:Z4"/>
    <mergeCell ref="AA3:AA4"/>
    <mergeCell ref="AB3:AC3"/>
    <mergeCell ref="AD3:AD4"/>
    <mergeCell ref="A2:B4"/>
    <mergeCell ref="C2:C4"/>
    <mergeCell ref="D2:J2"/>
    <mergeCell ref="K2:Q2"/>
    <mergeCell ref="R2:Y2"/>
    <mergeCell ref="W3:W4"/>
    <mergeCell ref="X3:X4"/>
    <mergeCell ref="Y3:Y4"/>
    <mergeCell ref="S3:S4"/>
    <mergeCell ref="T3:U3"/>
    <mergeCell ref="V3:V4"/>
  </mergeCells>
  <phoneticPr fontId="22" type="noConversion"/>
  <conditionalFormatting sqref="V5:V6 F5:F6 N5:N6 AD5:AD6">
    <cfRule type="cellIs" dxfId="146" priority="227" stopIfTrue="1" operator="greaterThan">
      <formula>0</formula>
    </cfRule>
  </conditionalFormatting>
  <conditionalFormatting sqref="O5:O6 W5:W6 AE5:AE6">
    <cfRule type="cellIs" dxfId="145" priority="223" stopIfTrue="1" operator="greaterThan">
      <formula>0</formula>
    </cfRule>
  </conditionalFormatting>
  <conditionalFormatting sqref="K7:AC7 O5:AG6 AE6:AE7 L5:M6">
    <cfRule type="cellIs" dxfId="144" priority="222" stopIfTrue="1" operator="lessThan">
      <formula>0</formula>
    </cfRule>
  </conditionalFormatting>
  <conditionalFormatting sqref="O5:O6">
    <cfRule type="cellIs" dxfId="143" priority="221" stopIfTrue="1" operator="greaterThan">
      <formula>1</formula>
    </cfRule>
  </conditionalFormatting>
  <conditionalFormatting sqref="O19 O8:O11 O13:O15 O21:O22 O29:O32 W19 W8:W11 W13:W15 W21:W22 W29:W32 AE19 AE8:AE11 AE13:AE15 AE21:AE22 O5:O6 W5:W6 AE5:AE6 AE29:AE33">
    <cfRule type="cellIs" dxfId="142" priority="220" stopIfTrue="1" operator="greaterThan">
      <formula>0</formula>
    </cfRule>
  </conditionalFormatting>
  <conditionalFormatting sqref="AG7">
    <cfRule type="cellIs" dxfId="141" priority="213" stopIfTrue="1" operator="lessThan">
      <formula>0</formula>
    </cfRule>
  </conditionalFormatting>
  <conditionalFormatting sqref="V13:V15">
    <cfRule type="cellIs" dxfId="140" priority="211" stopIfTrue="1" operator="greaterThan">
      <formula>0</formula>
    </cfRule>
  </conditionalFormatting>
  <conditionalFormatting sqref="O13:O15 W13:W15 AE13:AE15">
    <cfRule type="cellIs" dxfId="139" priority="210" stopIfTrue="1" operator="greaterThan">
      <formula>0</formula>
    </cfRule>
  </conditionalFormatting>
  <conditionalFormatting sqref="K16:AE16 O13:AC15 AE13:AG15 L13:M15">
    <cfRule type="cellIs" dxfId="138" priority="209" stopIfTrue="1" operator="lessThan">
      <formula>0</formula>
    </cfRule>
  </conditionalFormatting>
  <conditionalFormatting sqref="O13:O15">
    <cfRule type="cellIs" dxfId="137" priority="208" stopIfTrue="1" operator="greaterThan">
      <formula>1</formula>
    </cfRule>
  </conditionalFormatting>
  <conditionalFormatting sqref="O13:O15 W13:W15 AE13:AE15">
    <cfRule type="cellIs" dxfId="136" priority="207" stopIfTrue="1" operator="greaterThan">
      <formula>0</formula>
    </cfRule>
  </conditionalFormatting>
  <conditionalFormatting sqref="AG16">
    <cfRule type="cellIs" dxfId="135" priority="206" stopIfTrue="1" operator="lessThan">
      <formula>0</formula>
    </cfRule>
  </conditionalFormatting>
  <conditionalFormatting sqref="F21:F22">
    <cfRule type="cellIs" dxfId="134" priority="205" stopIfTrue="1" operator="greaterThan">
      <formula>0</formula>
    </cfRule>
  </conditionalFormatting>
  <conditionalFormatting sqref="V21:V22">
    <cfRule type="cellIs" dxfId="133" priority="203" stopIfTrue="1" operator="greaterThan">
      <formula>0</formula>
    </cfRule>
  </conditionalFormatting>
  <conditionalFormatting sqref="W21:W22">
    <cfRule type="cellIs" dxfId="132" priority="202" stopIfTrue="1" operator="greaterThan">
      <formula>0</formula>
    </cfRule>
  </conditionalFormatting>
  <conditionalFormatting sqref="K23:AE23 O21:Y22 L21:M22">
    <cfRule type="cellIs" dxfId="131" priority="201" stopIfTrue="1" operator="lessThan">
      <formula>0</formula>
    </cfRule>
  </conditionalFormatting>
  <conditionalFormatting sqref="O21:O22">
    <cfRule type="cellIs" dxfId="130" priority="200" stopIfTrue="1" operator="greaterThan">
      <formula>1</formula>
    </cfRule>
  </conditionalFormatting>
  <conditionalFormatting sqref="W21:W22">
    <cfRule type="cellIs" dxfId="129" priority="198" stopIfTrue="1" operator="greaterThan">
      <formula>0</formula>
    </cfRule>
  </conditionalFormatting>
  <conditionalFormatting sqref="O21:O22">
    <cfRule type="cellIs" dxfId="128" priority="197" stopIfTrue="1" operator="greaterThan">
      <formula>0</formula>
    </cfRule>
  </conditionalFormatting>
  <conditionalFormatting sqref="O21:O22">
    <cfRule type="cellIs" dxfId="127" priority="196" stopIfTrue="1" operator="greaterThan">
      <formula>0</formula>
    </cfRule>
  </conditionalFormatting>
  <conditionalFormatting sqref="AE21:AE22">
    <cfRule type="cellIs" dxfId="126" priority="194" stopIfTrue="1" operator="greaterThan">
      <formula>0</formula>
    </cfRule>
  </conditionalFormatting>
  <conditionalFormatting sqref="AG23 Z21:AC22 AE21:AG22">
    <cfRule type="cellIs" dxfId="125" priority="193" stopIfTrue="1" operator="lessThan">
      <formula>0</formula>
    </cfRule>
  </conditionalFormatting>
  <conditionalFormatting sqref="AE21:AE22">
    <cfRule type="cellIs" dxfId="124" priority="192" stopIfTrue="1" operator="greaterThan">
      <formula>0</formula>
    </cfRule>
  </conditionalFormatting>
  <conditionalFormatting sqref="V29:V32">
    <cfRule type="cellIs" dxfId="123" priority="189" stopIfTrue="1" operator="greaterThan">
      <formula>0</formula>
    </cfRule>
  </conditionalFormatting>
  <conditionalFormatting sqref="W29:W32">
    <cfRule type="cellIs" dxfId="122" priority="188" stopIfTrue="1" operator="greaterThan">
      <formula>0</formula>
    </cfRule>
  </conditionalFormatting>
  <conditionalFormatting sqref="P35 O29:Y32 L29:M32 AF33:AF34 X33:Y34 P33:Q34">
    <cfRule type="cellIs" dxfId="121" priority="187" stopIfTrue="1" operator="lessThan">
      <formula>0</formula>
    </cfRule>
  </conditionalFormatting>
  <conditionalFormatting sqref="O29:O32">
    <cfRule type="cellIs" dxfId="120" priority="186" stopIfTrue="1" operator="greaterThan">
      <formula>1</formula>
    </cfRule>
  </conditionalFormatting>
  <conditionalFormatting sqref="W29:W32">
    <cfRule type="cellIs" dxfId="119" priority="185" stopIfTrue="1" operator="greaterThan">
      <formula>0</formula>
    </cfRule>
  </conditionalFormatting>
  <conditionalFormatting sqref="O29:O32">
    <cfRule type="cellIs" dxfId="118" priority="184" stopIfTrue="1" operator="greaterThan">
      <formula>0</formula>
    </cfRule>
  </conditionalFormatting>
  <conditionalFormatting sqref="O29:O32">
    <cfRule type="cellIs" dxfId="117" priority="183" stopIfTrue="1" operator="greaterThan">
      <formula>0</formula>
    </cfRule>
  </conditionalFormatting>
  <conditionalFormatting sqref="AE29:AE32">
    <cfRule type="cellIs" dxfId="116" priority="181" stopIfTrue="1" operator="greaterThan">
      <formula>0</formula>
    </cfRule>
  </conditionalFormatting>
  <conditionalFormatting sqref="Z29:AC32 AE29:AG32 AG33:AG34">
    <cfRule type="cellIs" dxfId="115" priority="180" stopIfTrue="1" operator="lessThan">
      <formula>0</formula>
    </cfRule>
  </conditionalFormatting>
  <conditionalFormatting sqref="AE29:AE32">
    <cfRule type="cellIs" dxfId="114" priority="179" stopIfTrue="1" operator="greaterThan">
      <formula>0</formula>
    </cfRule>
  </conditionalFormatting>
  <conditionalFormatting sqref="F8">
    <cfRule type="cellIs" dxfId="113" priority="165" stopIfTrue="1" operator="greaterThan">
      <formula>0</formula>
    </cfRule>
  </conditionalFormatting>
  <conditionalFormatting sqref="F19">
    <cfRule type="cellIs" dxfId="112" priority="162" stopIfTrue="1" operator="greaterThan">
      <formula>0</formula>
    </cfRule>
  </conditionalFormatting>
  <conditionalFormatting sqref="F9:F11">
    <cfRule type="cellIs" dxfId="111" priority="161" stopIfTrue="1" operator="greaterThan">
      <formula>0</formula>
    </cfRule>
  </conditionalFormatting>
  <conditionalFormatting sqref="F13:F15">
    <cfRule type="cellIs" dxfId="110" priority="160" stopIfTrue="1" operator="greaterThan">
      <formula>0</formula>
    </cfRule>
  </conditionalFormatting>
  <conditionalFormatting sqref="F29:F32">
    <cfRule type="cellIs" dxfId="109" priority="159" stopIfTrue="1" operator="greaterThan">
      <formula>0</formula>
    </cfRule>
  </conditionalFormatting>
  <conditionalFormatting sqref="N19">
    <cfRule type="cellIs" dxfId="108" priority="157" stopIfTrue="1" operator="greaterThan">
      <formula>0</formula>
    </cfRule>
  </conditionalFormatting>
  <conditionalFormatting sqref="N8:N11">
    <cfRule type="cellIs" dxfId="107" priority="156" stopIfTrue="1" operator="greaterThan">
      <formula>0</formula>
    </cfRule>
  </conditionalFormatting>
  <conditionalFormatting sqref="N13:N15">
    <cfRule type="cellIs" dxfId="106" priority="155" stopIfTrue="1" operator="greaterThan">
      <formula>0</formula>
    </cfRule>
  </conditionalFormatting>
  <conditionalFormatting sqref="N21:N22">
    <cfRule type="cellIs" dxfId="105" priority="154" stopIfTrue="1" operator="greaterThan">
      <formula>0</formula>
    </cfRule>
  </conditionalFormatting>
  <conditionalFormatting sqref="N29:N32">
    <cfRule type="cellIs" dxfId="104" priority="153" stopIfTrue="1" operator="greaterThan">
      <formula>0</formula>
    </cfRule>
  </conditionalFormatting>
  <conditionalFormatting sqref="V8:V11">
    <cfRule type="cellIs" dxfId="103" priority="150" stopIfTrue="1" operator="greaterThan">
      <formula>0</formula>
    </cfRule>
  </conditionalFormatting>
  <conditionalFormatting sqref="V8:V11">
    <cfRule type="cellIs" dxfId="102" priority="149" stopIfTrue="1" operator="lessThan">
      <formula>0</formula>
    </cfRule>
  </conditionalFormatting>
  <conditionalFormatting sqref="V19">
    <cfRule type="cellIs" dxfId="101" priority="148" stopIfTrue="1" operator="greaterThan">
      <formula>0</formula>
    </cfRule>
  </conditionalFormatting>
  <conditionalFormatting sqref="V19">
    <cfRule type="cellIs" dxfId="100" priority="147" stopIfTrue="1" operator="lessThan">
      <formula>0</formula>
    </cfRule>
  </conditionalFormatting>
  <conditionalFormatting sqref="AD8:AD11">
    <cfRule type="cellIs" dxfId="99" priority="146" stopIfTrue="1" operator="greaterThan">
      <formula>0</formula>
    </cfRule>
  </conditionalFormatting>
  <conditionalFormatting sqref="AD8:AD11">
    <cfRule type="cellIs" dxfId="98" priority="145" stopIfTrue="1" operator="lessThan">
      <formula>0</formula>
    </cfRule>
  </conditionalFormatting>
  <conditionalFormatting sqref="AD13:AD15">
    <cfRule type="cellIs" dxfId="97" priority="144" stopIfTrue="1" operator="greaterThan">
      <formula>0</formula>
    </cfRule>
  </conditionalFormatting>
  <conditionalFormatting sqref="AD13:AD15">
    <cfRule type="cellIs" dxfId="96" priority="143" stopIfTrue="1" operator="lessThan">
      <formula>0</formula>
    </cfRule>
  </conditionalFormatting>
  <conditionalFormatting sqref="AD21:AD22">
    <cfRule type="cellIs" dxfId="95" priority="142" stopIfTrue="1" operator="greaterThan">
      <formula>0</formula>
    </cfRule>
  </conditionalFormatting>
  <conditionalFormatting sqref="AD21:AD22">
    <cfRule type="cellIs" dxfId="94" priority="141" stopIfTrue="1" operator="lessThan">
      <formula>0</formula>
    </cfRule>
  </conditionalFormatting>
  <conditionalFormatting sqref="AD29:AD32">
    <cfRule type="cellIs" dxfId="93" priority="140" stopIfTrue="1" operator="greaterThan">
      <formula>0</formula>
    </cfRule>
  </conditionalFormatting>
  <conditionalFormatting sqref="AD29:AD32">
    <cfRule type="cellIs" dxfId="92" priority="139" stopIfTrue="1" operator="lessThan">
      <formula>0</formula>
    </cfRule>
  </conditionalFormatting>
  <conditionalFormatting sqref="AD19">
    <cfRule type="cellIs" dxfId="91" priority="136" stopIfTrue="1" operator="greaterThan">
      <formula>0</formula>
    </cfRule>
  </conditionalFormatting>
  <conditionalFormatting sqref="AD19">
    <cfRule type="cellIs" dxfId="90" priority="135" stopIfTrue="1" operator="lessThan">
      <formula>0</formula>
    </cfRule>
  </conditionalFormatting>
  <conditionalFormatting sqref="Q35">
    <cfRule type="cellIs" dxfId="89" priority="134" stopIfTrue="1" operator="lessThan">
      <formula>0</formula>
    </cfRule>
  </conditionalFormatting>
  <conditionalFormatting sqref="AF7">
    <cfRule type="cellIs" dxfId="88" priority="125" stopIfTrue="1" operator="lessThan">
      <formula>0</formula>
    </cfRule>
  </conditionalFormatting>
  <conditionalFormatting sqref="X35">
    <cfRule type="cellIs" dxfId="87" priority="133" stopIfTrue="1" operator="lessThan">
      <formula>0</formula>
    </cfRule>
  </conditionalFormatting>
  <conditionalFormatting sqref="Y35">
    <cfRule type="cellIs" dxfId="86" priority="132" stopIfTrue="1" operator="lessThan">
      <formula>0</formula>
    </cfRule>
  </conditionalFormatting>
  <conditionalFormatting sqref="AF35">
    <cfRule type="cellIs" dxfId="85" priority="131" stopIfTrue="1" operator="lessThan">
      <formula>0</formula>
    </cfRule>
  </conditionalFormatting>
  <conditionalFormatting sqref="AG35">
    <cfRule type="cellIs" dxfId="84" priority="130" stopIfTrue="1" operator="lessThan">
      <formula>0</formula>
    </cfRule>
  </conditionalFormatting>
  <conditionalFormatting sqref="AF23">
    <cfRule type="cellIs" dxfId="83" priority="129" stopIfTrue="1" operator="lessThan">
      <formula>0</formula>
    </cfRule>
  </conditionalFormatting>
  <conditionalFormatting sqref="AF16">
    <cfRule type="cellIs" dxfId="82" priority="128" stopIfTrue="1" operator="lessThan">
      <formula>0</formula>
    </cfRule>
  </conditionalFormatting>
  <conditionalFormatting sqref="AF12">
    <cfRule type="cellIs" dxfId="81" priority="127" stopIfTrue="1" operator="lessThan">
      <formula>0</formula>
    </cfRule>
  </conditionalFormatting>
  <conditionalFormatting sqref="AF20">
    <cfRule type="cellIs" dxfId="80" priority="126" stopIfTrue="1" operator="lessThan">
      <formula>0</formula>
    </cfRule>
  </conditionalFormatting>
  <conditionalFormatting sqref="AD7">
    <cfRule type="cellIs" dxfId="79" priority="124" stopIfTrue="1" operator="lessThan">
      <formula>0</formula>
    </cfRule>
  </conditionalFormatting>
  <conditionalFormatting sqref="O24:O25 W24:W25 AE24:AE25">
    <cfRule type="cellIs" dxfId="78" priority="123" stopIfTrue="1" operator="greaterThan">
      <formula>0</formula>
    </cfRule>
  </conditionalFormatting>
  <conditionalFormatting sqref="V24">
    <cfRule type="cellIs" dxfId="77" priority="122" stopIfTrue="1" operator="greaterThan">
      <formula>0</formula>
    </cfRule>
  </conditionalFormatting>
  <conditionalFormatting sqref="W24:W25">
    <cfRule type="cellIs" dxfId="76" priority="121" stopIfTrue="1" operator="greaterThan">
      <formula>0</formula>
    </cfRule>
  </conditionalFormatting>
  <conditionalFormatting sqref="L24:M24 P26:Q26 X26:Y26 O24:Y24 S25 AF26 O25 W25 M25">
    <cfRule type="cellIs" dxfId="75" priority="120" stopIfTrue="1" operator="lessThan">
      <formula>0</formula>
    </cfRule>
  </conditionalFormatting>
  <conditionalFormatting sqref="O24:O25">
    <cfRule type="cellIs" dxfId="74" priority="119" stopIfTrue="1" operator="greaterThan">
      <formula>1</formula>
    </cfRule>
  </conditionalFormatting>
  <conditionalFormatting sqref="W24:W25">
    <cfRule type="cellIs" dxfId="73" priority="118" stopIfTrue="1" operator="greaterThan">
      <formula>0</formula>
    </cfRule>
  </conditionalFormatting>
  <conditionalFormatting sqref="O24:O25">
    <cfRule type="cellIs" dxfId="72" priority="117" stopIfTrue="1" operator="greaterThan">
      <formula>0</formula>
    </cfRule>
  </conditionalFormatting>
  <conditionalFormatting sqref="O24:O25">
    <cfRule type="cellIs" dxfId="71" priority="116" stopIfTrue="1" operator="greaterThan">
      <formula>0</formula>
    </cfRule>
  </conditionalFormatting>
  <conditionalFormatting sqref="AE24:AE25">
    <cfRule type="cellIs" dxfId="70" priority="115" stopIfTrue="1" operator="greaterThan">
      <formula>0</formula>
    </cfRule>
  </conditionalFormatting>
  <conditionalFormatting sqref="Z24:AC24 AG26 AA25 AE24:AG24 AE25">
    <cfRule type="cellIs" dxfId="69" priority="114" stopIfTrue="1" operator="lessThan">
      <formula>0</formula>
    </cfRule>
  </conditionalFormatting>
  <conditionalFormatting sqref="AE24:AE25">
    <cfRule type="cellIs" dxfId="68" priority="113" stopIfTrue="1" operator="greaterThan">
      <formula>0</formula>
    </cfRule>
  </conditionalFormatting>
  <conditionalFormatting sqref="V25">
    <cfRule type="cellIs" dxfId="67" priority="112" stopIfTrue="1" operator="greaterThan">
      <formula>0</formula>
    </cfRule>
  </conditionalFormatting>
  <conditionalFormatting sqref="W25">
    <cfRule type="cellIs" dxfId="66" priority="111" stopIfTrue="1" operator="greaterThan">
      <formula>0</formula>
    </cfRule>
  </conditionalFormatting>
  <conditionalFormatting sqref="L25 O25:R25 T25:Y25">
    <cfRule type="cellIs" dxfId="65" priority="110" stopIfTrue="1" operator="lessThan">
      <formula>0</formula>
    </cfRule>
  </conditionalFormatting>
  <conditionalFormatting sqref="O25">
    <cfRule type="cellIs" dxfId="64" priority="109" stopIfTrue="1" operator="greaterThan">
      <formula>1</formula>
    </cfRule>
  </conditionalFormatting>
  <conditionalFormatting sqref="W25">
    <cfRule type="cellIs" dxfId="63" priority="108" stopIfTrue="1" operator="greaterThan">
      <formula>0</formula>
    </cfRule>
  </conditionalFormatting>
  <conditionalFormatting sqref="O25">
    <cfRule type="cellIs" dxfId="62" priority="107" stopIfTrue="1" operator="greaterThan">
      <formula>0</formula>
    </cfRule>
  </conditionalFormatting>
  <conditionalFormatting sqref="O25">
    <cfRule type="cellIs" dxfId="61" priority="106" stopIfTrue="1" operator="greaterThan">
      <formula>0</formula>
    </cfRule>
  </conditionalFormatting>
  <conditionalFormatting sqref="AE25">
    <cfRule type="cellIs" dxfId="60" priority="105" stopIfTrue="1" operator="greaterThan">
      <formula>0</formula>
    </cfRule>
  </conditionalFormatting>
  <conditionalFormatting sqref="Z25 AB25:AC25 AE25:AG25">
    <cfRule type="cellIs" dxfId="59" priority="104" stopIfTrue="1" operator="lessThan">
      <formula>0</formula>
    </cfRule>
  </conditionalFormatting>
  <conditionalFormatting sqref="AE25">
    <cfRule type="cellIs" dxfId="58" priority="103" stopIfTrue="1" operator="greaterThan">
      <formula>0</formula>
    </cfRule>
  </conditionalFormatting>
  <conditionalFormatting sqref="F24:F25">
    <cfRule type="cellIs" dxfId="57" priority="102" stopIfTrue="1" operator="greaterThan">
      <formula>0</formula>
    </cfRule>
  </conditionalFormatting>
  <conditionalFormatting sqref="N24:N25">
    <cfRule type="cellIs" dxfId="56" priority="101" stopIfTrue="1" operator="greaterThan">
      <formula>0</formula>
    </cfRule>
  </conditionalFormatting>
  <conditionalFormatting sqref="AD24:AD25">
    <cfRule type="cellIs" dxfId="55" priority="100" stopIfTrue="1" operator="greaterThan">
      <formula>0</formula>
    </cfRule>
  </conditionalFormatting>
  <conditionalFormatting sqref="AD24:AD25">
    <cfRule type="cellIs" dxfId="54" priority="99" stopIfTrue="1" operator="lessThan">
      <formula>0</formula>
    </cfRule>
  </conditionalFormatting>
  <conditionalFormatting sqref="P27:Q27 X27:Y27 AF27">
    <cfRule type="cellIs" dxfId="53" priority="98" stopIfTrue="1" operator="lessThan">
      <formula>0</formula>
    </cfRule>
  </conditionalFormatting>
  <conditionalFormatting sqref="AG27">
    <cfRule type="cellIs" dxfId="52" priority="97" stopIfTrue="1" operator="lessThan">
      <formula>0</formula>
    </cfRule>
  </conditionalFormatting>
  <conditionalFormatting sqref="P28">
    <cfRule type="cellIs" dxfId="51" priority="96" stopIfTrue="1" operator="lessThan">
      <formula>0</formula>
    </cfRule>
  </conditionalFormatting>
  <conditionalFormatting sqref="Q28">
    <cfRule type="cellIs" dxfId="50" priority="95" stopIfTrue="1" operator="lessThan">
      <formula>0</formula>
    </cfRule>
  </conditionalFormatting>
  <conditionalFormatting sqref="X28">
    <cfRule type="cellIs" dxfId="49" priority="94" stopIfTrue="1" operator="lessThan">
      <formula>0</formula>
    </cfRule>
  </conditionalFormatting>
  <conditionalFormatting sqref="Y28">
    <cfRule type="cellIs" dxfId="48" priority="93" stopIfTrue="1" operator="lessThan">
      <formula>0</formula>
    </cfRule>
  </conditionalFormatting>
  <conditionalFormatting sqref="AF28">
    <cfRule type="cellIs" dxfId="47" priority="92" stopIfTrue="1" operator="lessThan">
      <formula>0</formula>
    </cfRule>
  </conditionalFormatting>
  <conditionalFormatting sqref="AG28">
    <cfRule type="cellIs" dxfId="46" priority="91" stopIfTrue="1" operator="lessThan">
      <formula>0</formula>
    </cfRule>
  </conditionalFormatting>
  <conditionalFormatting sqref="O17 W17 AE17">
    <cfRule type="cellIs" dxfId="45" priority="10" stopIfTrue="1" operator="greaterThan">
      <formula>0</formula>
    </cfRule>
  </conditionalFormatting>
  <conditionalFormatting sqref="F17">
    <cfRule type="cellIs" dxfId="44" priority="9" stopIfTrue="1" operator="greaterThan">
      <formula>0</formula>
    </cfRule>
  </conditionalFormatting>
  <conditionalFormatting sqref="N17">
    <cfRule type="cellIs" dxfId="43" priority="8" stopIfTrue="1" operator="greaterThan">
      <formula>0</formula>
    </cfRule>
  </conditionalFormatting>
  <conditionalFormatting sqref="V17">
    <cfRule type="cellIs" dxfId="42" priority="5" stopIfTrue="1" operator="greaterThan">
      <formula>0</formula>
    </cfRule>
  </conditionalFormatting>
  <conditionalFormatting sqref="V17">
    <cfRule type="cellIs" dxfId="41" priority="4" stopIfTrue="1" operator="lessThan">
      <formula>0</formula>
    </cfRule>
  </conditionalFormatting>
  <conditionalFormatting sqref="AD17">
    <cfRule type="cellIs" dxfId="40" priority="3" stopIfTrue="1" operator="greaterThan">
      <formula>0</formula>
    </cfRule>
  </conditionalFormatting>
  <conditionalFormatting sqref="AD17">
    <cfRule type="cellIs" dxfId="39" priority="2" stopIfTrue="1" operator="lessThan">
      <formula>0</formula>
    </cfRule>
  </conditionalFormatting>
  <conditionalFormatting sqref="AF18">
    <cfRule type="cellIs" dxfId="38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52"/>
  <sheetViews>
    <sheetView tabSelected="1" zoomScaleNormal="100" zoomScaleSheetLayoutView="100" workbookViewId="0">
      <pane xSplit="7" ySplit="5" topLeftCell="H9" activePane="bottomRight" state="frozen"/>
      <selection pane="topRight" activeCell="H1" sqref="H1"/>
      <selection pane="bottomLeft" activeCell="A6" sqref="A6"/>
      <selection pane="bottomRight" activeCell="K24" sqref="K24"/>
    </sheetView>
  </sheetViews>
  <sheetFormatPr defaultColWidth="10.109375" defaultRowHeight="13.5"/>
  <cols>
    <col min="1" max="1" width="6.5546875" style="22" customWidth="1"/>
    <col min="2" max="2" width="9.44140625" style="22" customWidth="1"/>
    <col min="3" max="3" width="4.88671875" style="22" customWidth="1"/>
    <col min="4" max="4" width="14.44140625" style="22" customWidth="1"/>
    <col min="5" max="5" width="17.88671875" style="22" bestFit="1" customWidth="1"/>
    <col min="6" max="6" width="19.77734375" style="22" bestFit="1" customWidth="1"/>
    <col min="7" max="7" width="6.77734375" style="22" customWidth="1"/>
    <col min="8" max="8" width="7.6640625" style="22" customWidth="1"/>
    <col min="9" max="10" width="9.21875" style="22" customWidth="1"/>
    <col min="11" max="12" width="9.21875" style="46" customWidth="1"/>
    <col min="13" max="13" width="7.109375" style="22" customWidth="1"/>
    <col min="14" max="15" width="9.21875" style="22" customWidth="1"/>
    <col min="16" max="19" width="9.21875" style="46" customWidth="1"/>
    <col min="20" max="20" width="7.109375" style="22" customWidth="1"/>
    <col min="21" max="22" width="9.21875" style="22" customWidth="1"/>
    <col min="23" max="26" width="9.21875" style="46" customWidth="1"/>
    <col min="27" max="27" width="7.109375" style="22" customWidth="1"/>
    <col min="28" max="29" width="9.21875" style="22" customWidth="1"/>
    <col min="30" max="31" width="9.21875" style="46" customWidth="1"/>
    <col min="32" max="16384" width="10.109375" style="46"/>
  </cols>
  <sheetData>
    <row r="1" spans="1:33" ht="14.25" customHeight="1">
      <c r="A1" s="200" t="s">
        <v>0</v>
      </c>
      <c r="B1" s="202"/>
      <c r="C1" s="203"/>
      <c r="D1" s="206" t="s">
        <v>452</v>
      </c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8"/>
      <c r="AB1" s="200" t="s">
        <v>1</v>
      </c>
      <c r="AC1" s="201"/>
      <c r="AD1" s="197" t="s">
        <v>449</v>
      </c>
      <c r="AE1" s="197"/>
      <c r="AF1" s="197"/>
      <c r="AG1" s="197"/>
    </row>
    <row r="2" spans="1:33" ht="14.25" customHeight="1">
      <c r="A2" s="200" t="s">
        <v>2</v>
      </c>
      <c r="B2" s="202"/>
      <c r="C2" s="203"/>
      <c r="D2" s="206" t="s">
        <v>451</v>
      </c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8"/>
      <c r="AB2" s="200" t="s">
        <v>3</v>
      </c>
      <c r="AC2" s="201"/>
      <c r="AD2" s="196" t="s">
        <v>450</v>
      </c>
      <c r="AE2" s="196"/>
      <c r="AF2" s="196"/>
      <c r="AG2" s="196"/>
    </row>
    <row r="3" spans="1:33" ht="9" customHeight="1"/>
    <row r="4" spans="1:33" ht="21" customHeight="1">
      <c r="A4" s="199" t="s">
        <v>4</v>
      </c>
      <c r="B4" s="199"/>
      <c r="C4" s="199"/>
      <c r="D4" s="199" t="s">
        <v>7</v>
      </c>
      <c r="E4" s="199" t="s">
        <v>6</v>
      </c>
      <c r="F4" s="199" t="s">
        <v>55</v>
      </c>
      <c r="G4" s="212" t="s">
        <v>56</v>
      </c>
      <c r="H4" s="198" t="s">
        <v>15</v>
      </c>
      <c r="I4" s="198"/>
      <c r="J4" s="204"/>
      <c r="K4" s="204"/>
      <c r="L4" s="204"/>
      <c r="M4" s="209" t="s">
        <v>16</v>
      </c>
      <c r="N4" s="210"/>
      <c r="O4" s="210"/>
      <c r="P4" s="210"/>
      <c r="Q4" s="210"/>
      <c r="R4" s="210"/>
      <c r="S4" s="211"/>
      <c r="T4" s="209" t="s">
        <v>17</v>
      </c>
      <c r="U4" s="210"/>
      <c r="V4" s="210"/>
      <c r="W4" s="210"/>
      <c r="X4" s="210"/>
      <c r="Y4" s="210"/>
      <c r="Z4" s="211"/>
      <c r="AA4" s="198" t="s">
        <v>18</v>
      </c>
      <c r="AB4" s="198"/>
      <c r="AC4" s="198"/>
      <c r="AD4" s="198"/>
      <c r="AE4" s="198"/>
      <c r="AF4" s="198"/>
      <c r="AG4" s="198"/>
    </row>
    <row r="5" spans="1:33" ht="21" customHeight="1">
      <c r="A5" s="116" t="s">
        <v>11</v>
      </c>
      <c r="B5" s="116" t="s">
        <v>12</v>
      </c>
      <c r="C5" s="146" t="s">
        <v>13</v>
      </c>
      <c r="D5" s="205"/>
      <c r="E5" s="205"/>
      <c r="F5" s="205"/>
      <c r="G5" s="213"/>
      <c r="H5" s="115" t="s">
        <v>19</v>
      </c>
      <c r="I5" s="115" t="s">
        <v>8</v>
      </c>
      <c r="J5" s="115" t="s">
        <v>10</v>
      </c>
      <c r="K5" s="115" t="s">
        <v>9</v>
      </c>
      <c r="L5" s="115" t="s">
        <v>5</v>
      </c>
      <c r="M5" s="115" t="s">
        <v>19</v>
      </c>
      <c r="N5" s="115" t="s">
        <v>8</v>
      </c>
      <c r="O5" s="115" t="s">
        <v>10</v>
      </c>
      <c r="P5" s="115" t="s">
        <v>9</v>
      </c>
      <c r="Q5" s="115" t="s">
        <v>5</v>
      </c>
      <c r="R5" s="115" t="s">
        <v>22</v>
      </c>
      <c r="S5" s="115" t="s">
        <v>27</v>
      </c>
      <c r="T5" s="115" t="s">
        <v>19</v>
      </c>
      <c r="U5" s="115" t="s">
        <v>8</v>
      </c>
      <c r="V5" s="115" t="s">
        <v>10</v>
      </c>
      <c r="W5" s="115" t="s">
        <v>9</v>
      </c>
      <c r="X5" s="115" t="s">
        <v>5</v>
      </c>
      <c r="Y5" s="115" t="s">
        <v>22</v>
      </c>
      <c r="Z5" s="115" t="s">
        <v>27</v>
      </c>
      <c r="AA5" s="115" t="s">
        <v>19</v>
      </c>
      <c r="AB5" s="115" t="s">
        <v>8</v>
      </c>
      <c r="AC5" s="115" t="s">
        <v>10</v>
      </c>
      <c r="AD5" s="115" t="s">
        <v>9</v>
      </c>
      <c r="AE5" s="115" t="s">
        <v>5</v>
      </c>
      <c r="AF5" s="115" t="s">
        <v>22</v>
      </c>
      <c r="AG5" s="115" t="s">
        <v>27</v>
      </c>
    </row>
    <row r="6" spans="1:33" ht="21" customHeight="1">
      <c r="A6" s="66" t="s">
        <v>159</v>
      </c>
      <c r="B6" s="66" t="s">
        <v>191</v>
      </c>
      <c r="C6" s="66" t="s">
        <v>628</v>
      </c>
      <c r="D6" s="74" t="s">
        <v>139</v>
      </c>
      <c r="E6" s="74" t="s">
        <v>120</v>
      </c>
      <c r="F6" s="53"/>
      <c r="G6" s="66">
        <v>1</v>
      </c>
      <c r="H6" s="65" t="s">
        <v>464</v>
      </c>
      <c r="I6" s="52" t="s">
        <v>532</v>
      </c>
      <c r="J6" s="52" t="s">
        <v>532</v>
      </c>
      <c r="K6" s="52" t="s">
        <v>532</v>
      </c>
      <c r="L6" s="52" t="s">
        <v>532</v>
      </c>
      <c r="M6" s="49"/>
      <c r="N6" s="49"/>
      <c r="O6" s="49"/>
      <c r="P6" s="49"/>
      <c r="Q6" s="49"/>
      <c r="R6" s="49"/>
      <c r="S6" s="49"/>
      <c r="T6" s="65"/>
      <c r="U6" s="51"/>
      <c r="V6" s="51"/>
      <c r="W6" s="51"/>
      <c r="X6" s="51"/>
      <c r="Y6" s="51"/>
      <c r="Z6" s="51"/>
      <c r="AA6" s="55"/>
      <c r="AB6" s="51"/>
      <c r="AC6" s="51"/>
      <c r="AD6" s="51"/>
      <c r="AE6" s="51"/>
      <c r="AF6" s="51"/>
      <c r="AG6" s="51"/>
    </row>
    <row r="7" spans="1:33" ht="21" customHeight="1">
      <c r="A7" s="66" t="s">
        <v>159</v>
      </c>
      <c r="B7" s="66" t="s">
        <v>191</v>
      </c>
      <c r="C7" s="66" t="s">
        <v>628</v>
      </c>
      <c r="D7" s="74" t="s">
        <v>140</v>
      </c>
      <c r="E7" s="74" t="s">
        <v>121</v>
      </c>
      <c r="F7" s="53"/>
      <c r="G7" s="66">
        <v>1</v>
      </c>
      <c r="H7" s="65" t="s">
        <v>464</v>
      </c>
      <c r="I7" s="52" t="s">
        <v>533</v>
      </c>
      <c r="J7" s="52" t="s">
        <v>533</v>
      </c>
      <c r="K7" s="52" t="s">
        <v>625</v>
      </c>
      <c r="L7" s="52" t="s">
        <v>625</v>
      </c>
      <c r="M7" s="49"/>
      <c r="N7" s="49"/>
      <c r="O7" s="49"/>
      <c r="P7" s="49"/>
      <c r="Q7" s="49"/>
      <c r="R7" s="49"/>
      <c r="S7" s="49"/>
      <c r="T7" s="65"/>
      <c r="U7" s="51"/>
      <c r="V7" s="51"/>
      <c r="W7" s="51"/>
      <c r="X7" s="51"/>
      <c r="Y7" s="51"/>
      <c r="Z7" s="51"/>
      <c r="AA7" s="55"/>
      <c r="AB7" s="51"/>
      <c r="AC7" s="51"/>
      <c r="AD7" s="51"/>
      <c r="AE7" s="51"/>
      <c r="AF7" s="51"/>
      <c r="AG7" s="51"/>
    </row>
    <row r="8" spans="1:33" ht="21" customHeight="1">
      <c r="A8" s="66" t="s">
        <v>159</v>
      </c>
      <c r="B8" s="66" t="s">
        <v>191</v>
      </c>
      <c r="C8" s="66" t="s">
        <v>628</v>
      </c>
      <c r="D8" s="74" t="s">
        <v>141</v>
      </c>
      <c r="E8" s="74" t="s">
        <v>122</v>
      </c>
      <c r="F8" s="53"/>
      <c r="G8" s="66">
        <v>1</v>
      </c>
      <c r="H8" s="65" t="s">
        <v>464</v>
      </c>
      <c r="I8" s="52" t="s">
        <v>534</v>
      </c>
      <c r="J8" s="52" t="s">
        <v>534</v>
      </c>
      <c r="K8" s="52" t="s">
        <v>534</v>
      </c>
      <c r="L8" s="52" t="s">
        <v>534</v>
      </c>
      <c r="M8" s="49"/>
      <c r="N8" s="49"/>
      <c r="O8" s="49"/>
      <c r="P8" s="49"/>
      <c r="Q8" s="49"/>
      <c r="R8" s="49"/>
      <c r="S8" s="49"/>
      <c r="T8" s="65"/>
      <c r="U8" s="51"/>
      <c r="V8" s="51"/>
      <c r="W8" s="51"/>
      <c r="X8" s="51"/>
      <c r="Y8" s="51"/>
      <c r="Z8" s="51"/>
      <c r="AA8" s="55"/>
      <c r="AB8" s="51"/>
      <c r="AC8" s="51"/>
      <c r="AD8" s="51"/>
      <c r="AE8" s="51"/>
      <c r="AF8" s="51"/>
      <c r="AG8" s="51"/>
    </row>
    <row r="9" spans="1:33" ht="21" customHeight="1">
      <c r="A9" s="66" t="s">
        <v>159</v>
      </c>
      <c r="B9" s="66" t="s">
        <v>191</v>
      </c>
      <c r="C9" s="66" t="s">
        <v>628</v>
      </c>
      <c r="D9" s="74" t="s">
        <v>142</v>
      </c>
      <c r="E9" s="74" t="s">
        <v>123</v>
      </c>
      <c r="F9" s="50"/>
      <c r="G9" s="66">
        <v>1</v>
      </c>
      <c r="H9" s="65" t="s">
        <v>464</v>
      </c>
      <c r="I9" s="52" t="s">
        <v>535</v>
      </c>
      <c r="J9" s="52" t="s">
        <v>535</v>
      </c>
      <c r="K9" s="52" t="s">
        <v>535</v>
      </c>
      <c r="L9" s="52" t="s">
        <v>535</v>
      </c>
      <c r="M9" s="49"/>
      <c r="N9" s="49"/>
      <c r="O9" s="49"/>
      <c r="P9" s="49"/>
      <c r="Q9" s="49"/>
      <c r="R9" s="49"/>
      <c r="S9" s="49"/>
      <c r="T9" s="65"/>
      <c r="U9" s="51"/>
      <c r="V9" s="51"/>
      <c r="W9" s="51"/>
      <c r="X9" s="51"/>
      <c r="Y9" s="51"/>
      <c r="Z9" s="51"/>
      <c r="AA9" s="55"/>
      <c r="AB9" s="51"/>
      <c r="AC9" s="51"/>
      <c r="AD9" s="51"/>
      <c r="AE9" s="51"/>
      <c r="AF9" s="51"/>
      <c r="AG9" s="51"/>
    </row>
    <row r="10" spans="1:33" ht="21" customHeight="1">
      <c r="A10" s="66" t="s">
        <v>159</v>
      </c>
      <c r="B10" s="66" t="s">
        <v>191</v>
      </c>
      <c r="C10" s="66" t="s">
        <v>628</v>
      </c>
      <c r="D10" s="74" t="s">
        <v>143</v>
      </c>
      <c r="E10" s="74" t="s">
        <v>124</v>
      </c>
      <c r="F10" s="53"/>
      <c r="G10" s="66">
        <v>1</v>
      </c>
      <c r="H10" s="65" t="s">
        <v>464</v>
      </c>
      <c r="I10" s="52" t="s">
        <v>536</v>
      </c>
      <c r="J10" s="52" t="s">
        <v>536</v>
      </c>
      <c r="K10" s="52" t="s">
        <v>536</v>
      </c>
      <c r="L10" s="51" t="s">
        <v>538</v>
      </c>
      <c r="M10" s="49"/>
      <c r="N10" s="49"/>
      <c r="O10" s="49"/>
      <c r="P10" s="49"/>
      <c r="Q10" s="49"/>
      <c r="R10" s="49"/>
      <c r="S10" s="49"/>
      <c r="T10" s="65"/>
      <c r="U10" s="51"/>
      <c r="V10" s="51"/>
      <c r="W10" s="51"/>
      <c r="X10" s="51"/>
      <c r="Y10" s="51"/>
      <c r="Z10" s="51"/>
      <c r="AA10" s="55"/>
      <c r="AB10" s="51"/>
      <c r="AC10" s="51"/>
      <c r="AD10" s="51"/>
      <c r="AE10" s="51"/>
      <c r="AF10" s="51"/>
      <c r="AG10" s="51"/>
    </row>
    <row r="11" spans="1:33" ht="21" customHeight="1">
      <c r="A11" s="66" t="s">
        <v>159</v>
      </c>
      <c r="B11" s="66" t="s">
        <v>191</v>
      </c>
      <c r="C11" s="66" t="s">
        <v>628</v>
      </c>
      <c r="D11" s="74" t="s">
        <v>144</v>
      </c>
      <c r="E11" s="74" t="s">
        <v>125</v>
      </c>
      <c r="F11" s="53"/>
      <c r="G11" s="66">
        <v>1</v>
      </c>
      <c r="H11" s="65" t="s">
        <v>464</v>
      </c>
      <c r="I11" s="52" t="s">
        <v>537</v>
      </c>
      <c r="J11" s="52" t="s">
        <v>537</v>
      </c>
      <c r="K11" s="52" t="s">
        <v>537</v>
      </c>
      <c r="L11" s="51" t="s">
        <v>665</v>
      </c>
      <c r="M11" s="49"/>
      <c r="N11" s="49"/>
      <c r="O11" s="49"/>
      <c r="P11" s="49"/>
      <c r="Q11" s="49"/>
      <c r="R11" s="49"/>
      <c r="S11" s="49"/>
      <c r="T11" s="65"/>
      <c r="U11" s="51"/>
      <c r="V11" s="51"/>
      <c r="W11" s="51"/>
      <c r="X11" s="51"/>
      <c r="Y11" s="51"/>
      <c r="Z11" s="51"/>
      <c r="AA11" s="55"/>
      <c r="AB11" s="51"/>
      <c r="AC11" s="51"/>
      <c r="AD11" s="51"/>
      <c r="AE11" s="51"/>
      <c r="AF11" s="51"/>
      <c r="AG11" s="51"/>
    </row>
    <row r="12" spans="1:33" ht="21" customHeight="1">
      <c r="A12" s="66" t="s">
        <v>159</v>
      </c>
      <c r="B12" s="66" t="s">
        <v>191</v>
      </c>
      <c r="C12" s="66" t="s">
        <v>628</v>
      </c>
      <c r="D12" s="74" t="s">
        <v>145</v>
      </c>
      <c r="E12" s="74" t="s">
        <v>126</v>
      </c>
      <c r="F12" s="50" t="s">
        <v>670</v>
      </c>
      <c r="G12" s="66">
        <v>1</v>
      </c>
      <c r="H12" s="65" t="s">
        <v>464</v>
      </c>
      <c r="I12" s="51" t="s">
        <v>538</v>
      </c>
      <c r="J12" s="51" t="s">
        <v>538</v>
      </c>
      <c r="K12" s="51" t="s">
        <v>669</v>
      </c>
      <c r="L12" s="51" t="s">
        <v>540</v>
      </c>
      <c r="M12" s="49"/>
      <c r="N12" s="49"/>
      <c r="O12" s="49"/>
      <c r="P12" s="49"/>
      <c r="Q12" s="49"/>
      <c r="R12" s="49"/>
      <c r="S12" s="49"/>
      <c r="T12" s="65"/>
      <c r="U12" s="51"/>
      <c r="V12" s="51"/>
      <c r="W12" s="51"/>
      <c r="X12" s="51"/>
      <c r="Y12" s="51"/>
      <c r="Z12" s="51"/>
      <c r="AA12" s="55"/>
      <c r="AB12" s="51"/>
      <c r="AC12" s="51"/>
      <c r="AD12" s="51"/>
      <c r="AE12" s="51"/>
      <c r="AF12" s="51"/>
      <c r="AG12" s="51"/>
    </row>
    <row r="13" spans="1:33" ht="21" customHeight="1">
      <c r="A13" s="66" t="s">
        <v>159</v>
      </c>
      <c r="B13" s="66" t="s">
        <v>191</v>
      </c>
      <c r="C13" s="66" t="s">
        <v>628</v>
      </c>
      <c r="D13" s="74" t="s">
        <v>146</v>
      </c>
      <c r="E13" s="74" t="s">
        <v>127</v>
      </c>
      <c r="F13" s="53" t="s">
        <v>671</v>
      </c>
      <c r="G13" s="66">
        <v>1</v>
      </c>
      <c r="H13" s="65" t="s">
        <v>464</v>
      </c>
      <c r="I13" s="51" t="s">
        <v>539</v>
      </c>
      <c r="J13" s="51" t="s">
        <v>539</v>
      </c>
      <c r="K13" s="51" t="s">
        <v>539</v>
      </c>
      <c r="L13" s="65"/>
      <c r="M13" s="49"/>
      <c r="N13" s="49"/>
      <c r="O13" s="49"/>
      <c r="P13" s="49"/>
      <c r="Q13" s="49"/>
      <c r="R13" s="49"/>
      <c r="S13" s="49"/>
      <c r="T13" s="65"/>
      <c r="U13" s="51"/>
      <c r="V13" s="51"/>
      <c r="W13" s="51"/>
      <c r="X13" s="51"/>
      <c r="Y13" s="51"/>
      <c r="Z13" s="51"/>
      <c r="AA13" s="55"/>
      <c r="AB13" s="51"/>
      <c r="AC13" s="51"/>
      <c r="AD13" s="51"/>
      <c r="AE13" s="51"/>
      <c r="AF13" s="51"/>
      <c r="AG13" s="51"/>
    </row>
    <row r="14" spans="1:33" ht="21" customHeight="1">
      <c r="A14" s="66" t="s">
        <v>159</v>
      </c>
      <c r="B14" s="66" t="s">
        <v>191</v>
      </c>
      <c r="C14" s="66" t="s">
        <v>628</v>
      </c>
      <c r="D14" s="74" t="s">
        <v>147</v>
      </c>
      <c r="E14" s="74" t="s">
        <v>128</v>
      </c>
      <c r="F14" s="53"/>
      <c r="G14" s="66">
        <v>1</v>
      </c>
      <c r="H14" s="65" t="s">
        <v>464</v>
      </c>
      <c r="I14" s="51" t="s">
        <v>540</v>
      </c>
      <c r="J14" s="51" t="s">
        <v>540</v>
      </c>
      <c r="K14" s="51" t="s">
        <v>540</v>
      </c>
      <c r="L14" s="65"/>
      <c r="M14" s="49"/>
      <c r="N14" s="49"/>
      <c r="O14" s="49"/>
      <c r="P14" s="49"/>
      <c r="Q14" s="49"/>
      <c r="R14" s="49"/>
      <c r="S14" s="49"/>
      <c r="T14" s="65"/>
      <c r="U14" s="51"/>
      <c r="V14" s="51"/>
      <c r="W14" s="51"/>
      <c r="X14" s="51"/>
      <c r="Y14" s="51"/>
      <c r="Z14" s="51"/>
      <c r="AA14" s="55"/>
      <c r="AB14" s="51"/>
      <c r="AC14" s="51"/>
      <c r="AD14" s="51"/>
      <c r="AE14" s="51"/>
      <c r="AF14" s="51"/>
      <c r="AG14" s="51"/>
    </row>
    <row r="15" spans="1:33" ht="21" customHeight="1">
      <c r="A15" s="66" t="s">
        <v>159</v>
      </c>
      <c r="B15" s="66" t="s">
        <v>191</v>
      </c>
      <c r="C15" s="66" t="s">
        <v>628</v>
      </c>
      <c r="D15" s="74" t="s">
        <v>148</v>
      </c>
      <c r="E15" s="74" t="s">
        <v>129</v>
      </c>
      <c r="F15" s="50" t="s">
        <v>672</v>
      </c>
      <c r="G15" s="66">
        <v>1</v>
      </c>
      <c r="H15" s="65" t="s">
        <v>465</v>
      </c>
      <c r="I15" s="52" t="s">
        <v>541</v>
      </c>
      <c r="J15" s="52" t="s">
        <v>541</v>
      </c>
      <c r="K15" s="51"/>
      <c r="L15" s="51"/>
      <c r="M15" s="49"/>
      <c r="N15" s="49"/>
      <c r="O15" s="49"/>
      <c r="P15" s="49"/>
      <c r="Q15" s="49"/>
      <c r="R15" s="49"/>
      <c r="S15" s="49"/>
      <c r="T15" s="65"/>
      <c r="U15" s="51"/>
      <c r="V15" s="51"/>
      <c r="W15" s="51"/>
      <c r="X15" s="51"/>
      <c r="Y15" s="51"/>
      <c r="Z15" s="51"/>
      <c r="AA15" s="55"/>
      <c r="AB15" s="51"/>
      <c r="AC15" s="51"/>
      <c r="AD15" s="51"/>
      <c r="AE15" s="51"/>
      <c r="AF15" s="51"/>
      <c r="AG15" s="51"/>
    </row>
    <row r="16" spans="1:33" ht="21" customHeight="1">
      <c r="A16" s="66" t="s">
        <v>159</v>
      </c>
      <c r="B16" s="66" t="s">
        <v>191</v>
      </c>
      <c r="C16" s="66" t="s">
        <v>628</v>
      </c>
      <c r="D16" s="74" t="s">
        <v>149</v>
      </c>
      <c r="E16" s="74" t="s">
        <v>130</v>
      </c>
      <c r="F16" s="53"/>
      <c r="G16" s="66">
        <v>1</v>
      </c>
      <c r="H16" s="65" t="s">
        <v>465</v>
      </c>
      <c r="I16" s="52" t="s">
        <v>537</v>
      </c>
      <c r="J16" s="52" t="s">
        <v>537</v>
      </c>
      <c r="K16" s="52" t="s">
        <v>537</v>
      </c>
      <c r="L16" s="65"/>
      <c r="M16" s="49"/>
      <c r="N16" s="49"/>
      <c r="O16" s="49"/>
      <c r="P16" s="49"/>
      <c r="Q16" s="49"/>
      <c r="R16" s="49"/>
      <c r="S16" s="49"/>
      <c r="T16" s="65"/>
      <c r="U16" s="51"/>
      <c r="V16" s="51"/>
      <c r="W16" s="51"/>
      <c r="X16" s="51"/>
      <c r="Y16" s="51"/>
      <c r="Z16" s="51"/>
      <c r="AA16" s="55"/>
      <c r="AB16" s="51"/>
      <c r="AC16" s="51"/>
      <c r="AD16" s="51"/>
      <c r="AE16" s="51"/>
      <c r="AF16" s="51"/>
      <c r="AG16" s="51"/>
    </row>
    <row r="17" spans="1:33" ht="21" customHeight="1">
      <c r="A17" s="66" t="s">
        <v>159</v>
      </c>
      <c r="B17" s="66" t="s">
        <v>191</v>
      </c>
      <c r="C17" s="66" t="s">
        <v>628</v>
      </c>
      <c r="D17" s="74" t="s">
        <v>150</v>
      </c>
      <c r="E17" s="74" t="s">
        <v>131</v>
      </c>
      <c r="F17" s="53"/>
      <c r="G17" s="66">
        <v>1</v>
      </c>
      <c r="H17" s="65" t="s">
        <v>465</v>
      </c>
      <c r="I17" s="52" t="s">
        <v>538</v>
      </c>
      <c r="J17" s="52" t="s">
        <v>538</v>
      </c>
      <c r="K17" s="52" t="s">
        <v>664</v>
      </c>
      <c r="L17" s="65"/>
      <c r="M17" s="49"/>
      <c r="N17" s="49"/>
      <c r="O17" s="49"/>
      <c r="P17" s="49"/>
      <c r="Q17" s="49"/>
      <c r="R17" s="49"/>
      <c r="S17" s="49"/>
      <c r="T17" s="65"/>
      <c r="U17" s="51"/>
      <c r="V17" s="51"/>
      <c r="W17" s="51"/>
      <c r="X17" s="51"/>
      <c r="Y17" s="51"/>
      <c r="Z17" s="51"/>
      <c r="AA17" s="55"/>
      <c r="AB17" s="51"/>
      <c r="AC17" s="51"/>
      <c r="AD17" s="51"/>
      <c r="AE17" s="51"/>
      <c r="AF17" s="51"/>
      <c r="AG17" s="51"/>
    </row>
    <row r="18" spans="1:33" ht="21" customHeight="1">
      <c r="A18" s="66" t="s">
        <v>159</v>
      </c>
      <c r="B18" s="66" t="s">
        <v>191</v>
      </c>
      <c r="C18" s="66" t="s">
        <v>628</v>
      </c>
      <c r="D18" s="74" t="s">
        <v>151</v>
      </c>
      <c r="E18" s="74" t="s">
        <v>132</v>
      </c>
      <c r="F18" s="53"/>
      <c r="G18" s="66">
        <v>1</v>
      </c>
      <c r="H18" s="65" t="s">
        <v>465</v>
      </c>
      <c r="I18" s="52" t="s">
        <v>534</v>
      </c>
      <c r="J18" s="52" t="s">
        <v>534</v>
      </c>
      <c r="K18" s="52" t="s">
        <v>534</v>
      </c>
      <c r="L18" s="65"/>
      <c r="M18" s="49"/>
      <c r="N18" s="49"/>
      <c r="O18" s="49"/>
      <c r="P18" s="49"/>
      <c r="Q18" s="49"/>
      <c r="R18" s="49"/>
      <c r="S18" s="49"/>
      <c r="T18" s="65"/>
      <c r="U18" s="51"/>
      <c r="V18" s="51"/>
      <c r="W18" s="51"/>
      <c r="X18" s="51"/>
      <c r="Y18" s="51"/>
      <c r="Z18" s="51"/>
      <c r="AA18" s="55"/>
      <c r="AB18" s="51"/>
      <c r="AC18" s="51"/>
      <c r="AD18" s="100"/>
      <c r="AE18" s="100"/>
      <c r="AF18" s="100"/>
      <c r="AG18" s="51"/>
    </row>
    <row r="19" spans="1:33" ht="21" customHeight="1">
      <c r="A19" s="66" t="s">
        <v>159</v>
      </c>
      <c r="B19" s="66" t="s">
        <v>191</v>
      </c>
      <c r="C19" s="66" t="s">
        <v>628</v>
      </c>
      <c r="D19" s="74" t="s">
        <v>152</v>
      </c>
      <c r="E19" s="74" t="s">
        <v>133</v>
      </c>
      <c r="F19" s="53"/>
      <c r="G19" s="66">
        <v>1</v>
      </c>
      <c r="H19" s="65" t="s">
        <v>465</v>
      </c>
      <c r="I19" s="52" t="s">
        <v>535</v>
      </c>
      <c r="J19" s="52" t="s">
        <v>535</v>
      </c>
      <c r="K19" s="52" t="s">
        <v>535</v>
      </c>
      <c r="L19" s="65"/>
      <c r="M19" s="49"/>
      <c r="N19" s="49"/>
      <c r="O19" s="49"/>
      <c r="P19" s="49"/>
      <c r="Q19" s="49"/>
      <c r="R19" s="49"/>
      <c r="S19" s="49"/>
      <c r="T19" s="65"/>
      <c r="U19" s="51"/>
      <c r="V19" s="51"/>
      <c r="W19" s="51"/>
      <c r="X19" s="51"/>
      <c r="Y19" s="51"/>
      <c r="Z19" s="51"/>
      <c r="AA19" s="55"/>
      <c r="AB19" s="51"/>
      <c r="AC19" s="51"/>
      <c r="AD19" s="51"/>
      <c r="AE19" s="51"/>
      <c r="AF19" s="51"/>
      <c r="AG19" s="51"/>
    </row>
    <row r="20" spans="1:33" ht="21" customHeight="1">
      <c r="A20" s="66" t="s">
        <v>159</v>
      </c>
      <c r="B20" s="66" t="s">
        <v>191</v>
      </c>
      <c r="C20" s="66" t="s">
        <v>628</v>
      </c>
      <c r="D20" s="74" t="s">
        <v>153</v>
      </c>
      <c r="E20" s="74" t="s">
        <v>134</v>
      </c>
      <c r="F20" s="53"/>
      <c r="G20" s="66">
        <v>1</v>
      </c>
      <c r="H20" s="65" t="s">
        <v>465</v>
      </c>
      <c r="I20" s="52" t="s">
        <v>536</v>
      </c>
      <c r="J20" s="52" t="s">
        <v>536</v>
      </c>
      <c r="K20" s="52" t="s">
        <v>536</v>
      </c>
      <c r="L20" s="52" t="s">
        <v>665</v>
      </c>
      <c r="M20" s="49"/>
      <c r="N20" s="49"/>
      <c r="O20" s="49"/>
      <c r="P20" s="49"/>
      <c r="Q20" s="49"/>
      <c r="R20" s="49"/>
      <c r="S20" s="49"/>
      <c r="T20" s="65"/>
      <c r="U20" s="51"/>
      <c r="V20" s="51"/>
      <c r="W20" s="51"/>
      <c r="X20" s="51"/>
      <c r="Y20" s="51"/>
      <c r="Z20" s="51"/>
      <c r="AA20" s="55"/>
      <c r="AB20" s="51"/>
      <c r="AC20" s="51"/>
      <c r="AD20" s="51"/>
      <c r="AE20" s="51"/>
      <c r="AF20" s="51"/>
      <c r="AG20" s="51"/>
    </row>
    <row r="21" spans="1:33" ht="21" customHeight="1">
      <c r="A21" s="66" t="s">
        <v>159</v>
      </c>
      <c r="B21" s="66" t="s">
        <v>191</v>
      </c>
      <c r="C21" s="66" t="s">
        <v>628</v>
      </c>
      <c r="D21" s="74" t="s">
        <v>154</v>
      </c>
      <c r="E21" s="74" t="s">
        <v>135</v>
      </c>
      <c r="F21" s="53"/>
      <c r="G21" s="66">
        <v>1</v>
      </c>
      <c r="H21" s="65" t="s">
        <v>465</v>
      </c>
      <c r="I21" s="52" t="s">
        <v>532</v>
      </c>
      <c r="J21" s="52" t="s">
        <v>532</v>
      </c>
      <c r="K21" s="52" t="s">
        <v>624</v>
      </c>
      <c r="L21" s="52" t="s">
        <v>625</v>
      </c>
      <c r="M21" s="49"/>
      <c r="N21" s="49"/>
      <c r="O21" s="49"/>
      <c r="P21" s="49"/>
      <c r="Q21" s="49"/>
      <c r="R21" s="49"/>
      <c r="S21" s="49"/>
      <c r="T21" s="65"/>
      <c r="U21" s="51"/>
      <c r="V21" s="51"/>
      <c r="W21" s="51"/>
      <c r="X21" s="51"/>
      <c r="Y21" s="51"/>
      <c r="Z21" s="51"/>
      <c r="AA21" s="55"/>
      <c r="AB21" s="51"/>
      <c r="AC21" s="51"/>
      <c r="AD21" s="51"/>
      <c r="AE21" s="51"/>
      <c r="AF21" s="51"/>
      <c r="AG21" s="51"/>
    </row>
    <row r="22" spans="1:33" ht="21" customHeight="1">
      <c r="A22" s="66" t="s">
        <v>159</v>
      </c>
      <c r="B22" s="66" t="s">
        <v>191</v>
      </c>
      <c r="C22" s="66" t="s">
        <v>628</v>
      </c>
      <c r="D22" s="74" t="s">
        <v>155</v>
      </c>
      <c r="E22" s="74" t="s">
        <v>136</v>
      </c>
      <c r="F22" s="53"/>
      <c r="G22" s="66">
        <v>1</v>
      </c>
      <c r="H22" s="65" t="s">
        <v>465</v>
      </c>
      <c r="I22" s="52" t="s">
        <v>533</v>
      </c>
      <c r="J22" s="52" t="s">
        <v>533</v>
      </c>
      <c r="K22" s="52" t="s">
        <v>625</v>
      </c>
      <c r="L22" s="65"/>
      <c r="M22" s="49"/>
      <c r="N22" s="49"/>
      <c r="O22" s="49"/>
      <c r="P22" s="49"/>
      <c r="Q22" s="49"/>
      <c r="R22" s="49"/>
      <c r="S22" s="49"/>
      <c r="T22" s="65"/>
      <c r="U22" s="51"/>
      <c r="V22" s="51"/>
      <c r="W22" s="51"/>
      <c r="X22" s="51"/>
      <c r="Y22" s="51"/>
      <c r="Z22" s="51"/>
      <c r="AA22" s="55"/>
      <c r="AB22" s="51"/>
      <c r="AC22" s="51"/>
      <c r="AD22" s="100"/>
      <c r="AE22" s="100"/>
      <c r="AF22" s="100"/>
      <c r="AG22" s="51"/>
    </row>
    <row r="23" spans="1:33" ht="21" customHeight="1">
      <c r="A23" s="66" t="s">
        <v>159</v>
      </c>
      <c r="B23" s="66" t="s">
        <v>191</v>
      </c>
      <c r="C23" s="66" t="s">
        <v>628</v>
      </c>
      <c r="D23" s="74" t="s">
        <v>156</v>
      </c>
      <c r="E23" s="74" t="s">
        <v>137</v>
      </c>
      <c r="F23" s="53"/>
      <c r="G23" s="66">
        <v>1</v>
      </c>
      <c r="H23" s="65" t="s">
        <v>465</v>
      </c>
      <c r="I23" s="52" t="s">
        <v>539</v>
      </c>
      <c r="J23" s="52" t="s">
        <v>539</v>
      </c>
      <c r="K23" s="52" t="s">
        <v>666</v>
      </c>
      <c r="L23" s="65"/>
      <c r="M23" s="49"/>
      <c r="N23" s="49"/>
      <c r="O23" s="49"/>
      <c r="P23" s="49"/>
      <c r="Q23" s="49"/>
      <c r="R23" s="49"/>
      <c r="S23" s="49"/>
      <c r="T23" s="65"/>
      <c r="U23" s="51"/>
      <c r="V23" s="51"/>
      <c r="W23" s="51"/>
      <c r="X23" s="51"/>
      <c r="Y23" s="51"/>
      <c r="Z23" s="51"/>
      <c r="AA23" s="55"/>
      <c r="AB23" s="51"/>
      <c r="AC23" s="51"/>
      <c r="AD23" s="100"/>
      <c r="AE23" s="100"/>
      <c r="AF23" s="100"/>
      <c r="AG23" s="51"/>
    </row>
    <row r="24" spans="1:33" ht="21" customHeight="1">
      <c r="A24" s="66" t="s">
        <v>159</v>
      </c>
      <c r="B24" s="66" t="s">
        <v>191</v>
      </c>
      <c r="C24" s="66" t="s">
        <v>628</v>
      </c>
      <c r="D24" s="74" t="s">
        <v>157</v>
      </c>
      <c r="E24" s="74" t="s">
        <v>138</v>
      </c>
      <c r="F24" s="53"/>
      <c r="G24" s="66">
        <v>1</v>
      </c>
      <c r="H24" s="65" t="s">
        <v>465</v>
      </c>
      <c r="I24" s="52" t="s">
        <v>540</v>
      </c>
      <c r="J24" s="52" t="s">
        <v>540</v>
      </c>
      <c r="K24" s="65"/>
      <c r="L24" s="65"/>
      <c r="M24" s="49"/>
      <c r="N24" s="49"/>
      <c r="O24" s="49"/>
      <c r="P24" s="49"/>
      <c r="Q24" s="49"/>
      <c r="R24" s="49"/>
      <c r="S24" s="49"/>
      <c r="T24" s="65"/>
      <c r="U24" s="51"/>
      <c r="V24" s="51"/>
      <c r="W24" s="51"/>
      <c r="X24" s="51"/>
      <c r="Y24" s="51"/>
      <c r="Z24" s="51"/>
      <c r="AA24" s="55"/>
      <c r="AB24" s="51"/>
      <c r="AC24" s="51"/>
      <c r="AD24" s="100"/>
      <c r="AE24" s="100"/>
      <c r="AF24" s="100"/>
      <c r="AG24" s="51"/>
    </row>
    <row r="25" spans="1:33" ht="21" customHeight="1">
      <c r="A25" s="66" t="s">
        <v>159</v>
      </c>
      <c r="B25" s="66" t="s">
        <v>191</v>
      </c>
      <c r="C25" s="66" t="s">
        <v>628</v>
      </c>
      <c r="D25" s="124" t="s">
        <v>158</v>
      </c>
      <c r="E25" s="124" t="s">
        <v>58</v>
      </c>
      <c r="F25" s="53"/>
      <c r="G25" s="66">
        <v>1</v>
      </c>
      <c r="H25" s="65" t="s">
        <v>463</v>
      </c>
      <c r="I25" s="52" t="s">
        <v>541</v>
      </c>
      <c r="J25" s="52" t="s">
        <v>541</v>
      </c>
      <c r="K25" s="65"/>
      <c r="L25" s="65"/>
      <c r="M25" s="49"/>
      <c r="N25" s="49"/>
      <c r="O25" s="49"/>
      <c r="P25" s="49"/>
      <c r="Q25" s="49"/>
      <c r="R25" s="49"/>
      <c r="S25" s="49"/>
      <c r="T25" s="65"/>
      <c r="U25" s="51"/>
      <c r="V25" s="51"/>
      <c r="W25" s="51"/>
      <c r="X25" s="51"/>
      <c r="Y25" s="51"/>
      <c r="Z25" s="51"/>
      <c r="AA25" s="55"/>
      <c r="AB25" s="51"/>
      <c r="AC25" s="51"/>
      <c r="AD25" s="100"/>
      <c r="AE25" s="100"/>
      <c r="AF25" s="100"/>
      <c r="AG25" s="51"/>
    </row>
    <row r="26" spans="1:33" ht="21" customHeight="1">
      <c r="A26" s="52" t="s">
        <v>190</v>
      </c>
      <c r="B26" s="52" t="s">
        <v>395</v>
      </c>
      <c r="C26" s="156" t="s">
        <v>629</v>
      </c>
      <c r="D26" s="125" t="s">
        <v>373</v>
      </c>
      <c r="E26" s="125" t="s">
        <v>374</v>
      </c>
      <c r="F26" s="120"/>
      <c r="G26" s="113">
        <v>1</v>
      </c>
      <c r="H26" s="65" t="s">
        <v>620</v>
      </c>
      <c r="I26" s="65" t="s">
        <v>617</v>
      </c>
      <c r="J26" s="65" t="s">
        <v>617</v>
      </c>
      <c r="K26" s="65"/>
      <c r="L26" s="65"/>
      <c r="M26" s="49"/>
      <c r="N26" s="49"/>
      <c r="O26" s="49"/>
      <c r="P26" s="49"/>
      <c r="Q26" s="49"/>
      <c r="R26" s="49"/>
      <c r="S26" s="49"/>
      <c r="T26" s="65"/>
      <c r="U26" s="51"/>
      <c r="V26" s="51"/>
      <c r="W26" s="51"/>
      <c r="X26" s="51"/>
      <c r="Y26" s="51"/>
      <c r="Z26" s="51"/>
      <c r="AA26" s="55"/>
      <c r="AB26" s="51"/>
      <c r="AC26" s="51"/>
      <c r="AD26" s="65"/>
      <c r="AE26" s="65"/>
      <c r="AF26" s="51"/>
      <c r="AG26" s="51"/>
    </row>
    <row r="27" spans="1:33" ht="21" customHeight="1">
      <c r="A27" s="52" t="s">
        <v>190</v>
      </c>
      <c r="B27" s="52" t="s">
        <v>395</v>
      </c>
      <c r="C27" s="156" t="s">
        <v>629</v>
      </c>
      <c r="D27" s="125" t="s">
        <v>375</v>
      </c>
      <c r="E27" s="125" t="s">
        <v>376</v>
      </c>
      <c r="F27" s="120"/>
      <c r="G27" s="113">
        <v>1</v>
      </c>
      <c r="H27" s="65" t="s">
        <v>620</v>
      </c>
      <c r="I27" s="65" t="s">
        <v>617</v>
      </c>
      <c r="J27" s="65" t="s">
        <v>617</v>
      </c>
      <c r="K27" s="65"/>
      <c r="L27" s="65"/>
      <c r="M27" s="49"/>
      <c r="N27" s="49"/>
      <c r="O27" s="49"/>
      <c r="P27" s="49"/>
      <c r="Q27" s="49"/>
      <c r="R27" s="49"/>
      <c r="S27" s="49"/>
      <c r="T27" s="65"/>
      <c r="U27" s="51"/>
      <c r="V27" s="51"/>
      <c r="W27" s="51"/>
      <c r="X27" s="51"/>
      <c r="Y27" s="51"/>
      <c r="Z27" s="51"/>
      <c r="AA27" s="55"/>
      <c r="AB27" s="51"/>
      <c r="AC27" s="51"/>
      <c r="AD27" s="65"/>
      <c r="AE27" s="65"/>
      <c r="AF27" s="51"/>
      <c r="AG27" s="51"/>
    </row>
    <row r="28" spans="1:33" ht="21" customHeight="1">
      <c r="A28" s="52" t="s">
        <v>190</v>
      </c>
      <c r="B28" s="52" t="s">
        <v>395</v>
      </c>
      <c r="C28" s="156" t="s">
        <v>629</v>
      </c>
      <c r="D28" s="125" t="s">
        <v>377</v>
      </c>
      <c r="E28" s="125" t="s">
        <v>378</v>
      </c>
      <c r="F28" s="120"/>
      <c r="G28" s="113">
        <v>1</v>
      </c>
      <c r="H28" s="65" t="s">
        <v>620</v>
      </c>
      <c r="I28" s="65" t="s">
        <v>617</v>
      </c>
      <c r="J28" s="65" t="s">
        <v>617</v>
      </c>
      <c r="K28" s="65"/>
      <c r="L28" s="65"/>
      <c r="M28" s="49"/>
      <c r="N28" s="49"/>
      <c r="O28" s="49"/>
      <c r="P28" s="49"/>
      <c r="Q28" s="49"/>
      <c r="R28" s="49"/>
      <c r="S28" s="49"/>
      <c r="T28" s="65"/>
      <c r="U28" s="51"/>
      <c r="V28" s="51"/>
      <c r="W28" s="51"/>
      <c r="X28" s="51"/>
      <c r="Y28" s="51"/>
      <c r="Z28" s="51"/>
      <c r="AA28" s="55"/>
      <c r="AB28" s="51"/>
      <c r="AC28" s="51"/>
      <c r="AD28" s="65"/>
      <c r="AE28" s="65"/>
      <c r="AF28" s="51"/>
      <c r="AG28" s="51"/>
    </row>
    <row r="29" spans="1:33" ht="21" customHeight="1">
      <c r="A29" s="52" t="s">
        <v>190</v>
      </c>
      <c r="B29" s="52" t="s">
        <v>395</v>
      </c>
      <c r="C29" s="156" t="s">
        <v>629</v>
      </c>
      <c r="D29" s="125" t="s">
        <v>379</v>
      </c>
      <c r="E29" s="125" t="s">
        <v>380</v>
      </c>
      <c r="F29" s="120"/>
      <c r="G29" s="113">
        <v>1</v>
      </c>
      <c r="H29" s="65" t="s">
        <v>620</v>
      </c>
      <c r="I29" s="65" t="s">
        <v>617</v>
      </c>
      <c r="J29" s="65" t="s">
        <v>617</v>
      </c>
      <c r="K29" s="65"/>
      <c r="L29" s="65"/>
      <c r="M29" s="49"/>
      <c r="N29" s="49"/>
      <c r="O29" s="49"/>
      <c r="P29" s="49"/>
      <c r="Q29" s="49"/>
      <c r="R29" s="49"/>
      <c r="S29" s="49"/>
      <c r="T29" s="65"/>
      <c r="U29" s="51"/>
      <c r="V29" s="51"/>
      <c r="W29" s="51"/>
      <c r="X29" s="51"/>
      <c r="Y29" s="51"/>
      <c r="Z29" s="51"/>
      <c r="AA29" s="55"/>
      <c r="AB29" s="51"/>
      <c r="AC29" s="51"/>
      <c r="AD29" s="65"/>
      <c r="AE29" s="65"/>
      <c r="AF29" s="51"/>
      <c r="AG29" s="51"/>
    </row>
    <row r="30" spans="1:33" ht="21" customHeight="1">
      <c r="A30" s="52" t="s">
        <v>190</v>
      </c>
      <c r="B30" s="52" t="s">
        <v>395</v>
      </c>
      <c r="C30" s="156" t="s">
        <v>629</v>
      </c>
      <c r="D30" s="125" t="s">
        <v>381</v>
      </c>
      <c r="E30" s="125" t="s">
        <v>382</v>
      </c>
      <c r="F30" s="120"/>
      <c r="G30" s="113">
        <v>1</v>
      </c>
      <c r="H30" s="65" t="s">
        <v>620</v>
      </c>
      <c r="I30" s="65" t="s">
        <v>617</v>
      </c>
      <c r="J30" s="65" t="s">
        <v>617</v>
      </c>
      <c r="K30" s="65"/>
      <c r="L30" s="65"/>
      <c r="M30" s="49"/>
      <c r="N30" s="49"/>
      <c r="O30" s="49"/>
      <c r="P30" s="49"/>
      <c r="Q30" s="49"/>
      <c r="R30" s="49"/>
      <c r="S30" s="49"/>
      <c r="T30" s="65"/>
      <c r="U30" s="51"/>
      <c r="V30" s="51"/>
      <c r="W30" s="51"/>
      <c r="X30" s="51"/>
      <c r="Y30" s="51"/>
      <c r="Z30" s="51"/>
      <c r="AA30" s="55"/>
      <c r="AB30" s="51"/>
      <c r="AC30" s="51"/>
      <c r="AD30" s="65"/>
      <c r="AE30" s="65"/>
      <c r="AF30" s="51"/>
      <c r="AG30" s="51"/>
    </row>
    <row r="31" spans="1:33" ht="21" customHeight="1">
      <c r="A31" s="52" t="s">
        <v>190</v>
      </c>
      <c r="B31" s="52" t="s">
        <v>395</v>
      </c>
      <c r="C31" s="156" t="s">
        <v>629</v>
      </c>
      <c r="D31" s="125" t="s">
        <v>383</v>
      </c>
      <c r="E31" s="125" t="s">
        <v>384</v>
      </c>
      <c r="F31" s="120"/>
      <c r="G31" s="113">
        <v>1</v>
      </c>
      <c r="H31" s="65" t="s">
        <v>621</v>
      </c>
      <c r="I31" s="65" t="s">
        <v>617</v>
      </c>
      <c r="J31" s="65" t="s">
        <v>617</v>
      </c>
      <c r="K31" s="65"/>
      <c r="L31" s="65"/>
      <c r="M31" s="49"/>
      <c r="N31" s="49"/>
      <c r="O31" s="49"/>
      <c r="P31" s="49"/>
      <c r="Q31" s="49"/>
      <c r="R31" s="49"/>
      <c r="S31" s="49"/>
      <c r="T31" s="65"/>
      <c r="U31" s="51"/>
      <c r="V31" s="51"/>
      <c r="W31" s="51"/>
      <c r="X31" s="51"/>
      <c r="Y31" s="51"/>
      <c r="Z31" s="51"/>
      <c r="AA31" s="55"/>
      <c r="AB31" s="51"/>
      <c r="AC31" s="51"/>
      <c r="AD31" s="65"/>
      <c r="AE31" s="65"/>
      <c r="AF31" s="51"/>
      <c r="AG31" s="51"/>
    </row>
    <row r="32" spans="1:33" ht="21" customHeight="1">
      <c r="A32" s="52" t="s">
        <v>190</v>
      </c>
      <c r="B32" s="52" t="s">
        <v>395</v>
      </c>
      <c r="C32" s="156" t="s">
        <v>629</v>
      </c>
      <c r="D32" s="125" t="s">
        <v>385</v>
      </c>
      <c r="E32" s="125" t="s">
        <v>386</v>
      </c>
      <c r="F32" s="120"/>
      <c r="G32" s="113">
        <v>1</v>
      </c>
      <c r="H32" s="65" t="s">
        <v>621</v>
      </c>
      <c r="I32" s="65" t="s">
        <v>617</v>
      </c>
      <c r="J32" s="65" t="s">
        <v>617</v>
      </c>
      <c r="K32" s="65"/>
      <c r="L32" s="65"/>
      <c r="M32" s="49"/>
      <c r="N32" s="49"/>
      <c r="O32" s="49"/>
      <c r="P32" s="49"/>
      <c r="Q32" s="49"/>
      <c r="R32" s="49"/>
      <c r="S32" s="49"/>
      <c r="T32" s="65"/>
      <c r="U32" s="51"/>
      <c r="V32" s="51"/>
      <c r="W32" s="51"/>
      <c r="X32" s="51"/>
      <c r="Y32" s="51"/>
      <c r="Z32" s="51"/>
      <c r="AA32" s="55"/>
      <c r="AB32" s="51"/>
      <c r="AC32" s="51"/>
      <c r="AD32" s="65"/>
      <c r="AE32" s="65"/>
      <c r="AF32" s="51"/>
      <c r="AG32" s="51"/>
    </row>
    <row r="33" spans="1:33" ht="21" customHeight="1">
      <c r="A33" s="52" t="s">
        <v>190</v>
      </c>
      <c r="B33" s="52" t="s">
        <v>395</v>
      </c>
      <c r="C33" s="156" t="s">
        <v>629</v>
      </c>
      <c r="D33" s="125" t="s">
        <v>387</v>
      </c>
      <c r="E33" s="125" t="s">
        <v>388</v>
      </c>
      <c r="F33" s="120"/>
      <c r="G33" s="113">
        <v>1</v>
      </c>
      <c r="H33" s="65" t="s">
        <v>621</v>
      </c>
      <c r="I33" s="65" t="s">
        <v>617</v>
      </c>
      <c r="J33" s="65" t="s">
        <v>617</v>
      </c>
      <c r="K33" s="65"/>
      <c r="L33" s="65"/>
      <c r="M33" s="49"/>
      <c r="N33" s="49"/>
      <c r="O33" s="49"/>
      <c r="P33" s="49"/>
      <c r="Q33" s="49"/>
      <c r="R33" s="49"/>
      <c r="S33" s="49"/>
      <c r="T33" s="65"/>
      <c r="U33" s="51"/>
      <c r="V33" s="51"/>
      <c r="W33" s="51"/>
      <c r="X33" s="51"/>
      <c r="Y33" s="51"/>
      <c r="Z33" s="51"/>
      <c r="AA33" s="55"/>
      <c r="AB33" s="51"/>
      <c r="AC33" s="51"/>
      <c r="AD33" s="65"/>
      <c r="AE33" s="65"/>
      <c r="AF33" s="51"/>
      <c r="AG33" s="51"/>
    </row>
    <row r="34" spans="1:33" ht="21" customHeight="1">
      <c r="A34" s="52" t="s">
        <v>190</v>
      </c>
      <c r="B34" s="52" t="s">
        <v>395</v>
      </c>
      <c r="C34" s="156" t="s">
        <v>629</v>
      </c>
      <c r="D34" s="125" t="s">
        <v>389</v>
      </c>
      <c r="E34" s="125" t="s">
        <v>390</v>
      </c>
      <c r="F34" s="120"/>
      <c r="G34" s="113">
        <v>1</v>
      </c>
      <c r="H34" s="65" t="s">
        <v>621</v>
      </c>
      <c r="I34" s="65" t="s">
        <v>617</v>
      </c>
      <c r="J34" s="65" t="s">
        <v>617</v>
      </c>
      <c r="K34" s="65"/>
      <c r="L34" s="65"/>
      <c r="M34" s="49"/>
      <c r="N34" s="49"/>
      <c r="O34" s="49"/>
      <c r="P34" s="49"/>
      <c r="Q34" s="49"/>
      <c r="R34" s="49"/>
      <c r="S34" s="49"/>
      <c r="T34" s="65"/>
      <c r="U34" s="51"/>
      <c r="V34" s="51"/>
      <c r="W34" s="51"/>
      <c r="X34" s="51"/>
      <c r="Y34" s="51"/>
      <c r="Z34" s="51"/>
      <c r="AA34" s="55"/>
      <c r="AB34" s="51"/>
      <c r="AC34" s="51"/>
      <c r="AD34" s="65"/>
      <c r="AE34" s="65"/>
      <c r="AF34" s="51"/>
      <c r="AG34" s="51"/>
    </row>
    <row r="35" spans="1:33" ht="21" customHeight="1">
      <c r="A35" s="52" t="s">
        <v>190</v>
      </c>
      <c r="B35" s="52" t="s">
        <v>395</v>
      </c>
      <c r="C35" s="156" t="s">
        <v>629</v>
      </c>
      <c r="D35" s="125" t="s">
        <v>391</v>
      </c>
      <c r="E35" s="125" t="s">
        <v>392</v>
      </c>
      <c r="F35" s="120"/>
      <c r="G35" s="113">
        <v>1</v>
      </c>
      <c r="H35" s="65" t="s">
        <v>621</v>
      </c>
      <c r="I35" s="65" t="s">
        <v>617</v>
      </c>
      <c r="J35" s="65" t="s">
        <v>617</v>
      </c>
      <c r="K35" s="65"/>
      <c r="L35" s="65"/>
      <c r="M35" s="49"/>
      <c r="N35" s="49"/>
      <c r="O35" s="49"/>
      <c r="P35" s="49"/>
      <c r="Q35" s="49"/>
      <c r="R35" s="49"/>
      <c r="S35" s="49"/>
      <c r="T35" s="65"/>
      <c r="U35" s="51"/>
      <c r="V35" s="51"/>
      <c r="W35" s="51"/>
      <c r="X35" s="51"/>
      <c r="Y35" s="51"/>
      <c r="Z35" s="51"/>
      <c r="AA35" s="55"/>
      <c r="AB35" s="51"/>
      <c r="AC35" s="51"/>
      <c r="AD35" s="65"/>
      <c r="AE35" s="65"/>
      <c r="AF35" s="51"/>
      <c r="AG35" s="51"/>
    </row>
    <row r="36" spans="1:33" ht="21" customHeight="1">
      <c r="A36" s="52" t="s">
        <v>190</v>
      </c>
      <c r="B36" s="52" t="s">
        <v>395</v>
      </c>
      <c r="C36" s="156" t="s">
        <v>629</v>
      </c>
      <c r="D36" s="125" t="s">
        <v>393</v>
      </c>
      <c r="E36" s="125" t="s">
        <v>394</v>
      </c>
      <c r="F36" s="120"/>
      <c r="G36" s="113">
        <v>1</v>
      </c>
      <c r="H36" s="65" t="s">
        <v>621</v>
      </c>
      <c r="I36" s="65" t="s">
        <v>617</v>
      </c>
      <c r="J36" s="65" t="s">
        <v>617</v>
      </c>
      <c r="K36" s="65"/>
      <c r="L36" s="65"/>
      <c r="M36" s="49"/>
      <c r="N36" s="49"/>
      <c r="O36" s="49"/>
      <c r="P36" s="49"/>
      <c r="Q36" s="49"/>
      <c r="R36" s="49"/>
      <c r="S36" s="49"/>
      <c r="T36" s="65"/>
      <c r="U36" s="51"/>
      <c r="V36" s="51"/>
      <c r="W36" s="51"/>
      <c r="X36" s="51"/>
      <c r="Y36" s="51"/>
      <c r="Z36" s="51"/>
      <c r="AA36" s="55"/>
      <c r="AB36" s="51"/>
      <c r="AC36" s="51"/>
      <c r="AD36" s="65"/>
      <c r="AE36" s="65"/>
      <c r="AF36" s="51"/>
      <c r="AG36" s="51"/>
    </row>
    <row r="37" spans="1:33" ht="21" customHeight="1">
      <c r="A37" s="66" t="s">
        <v>188</v>
      </c>
      <c r="B37" s="66" t="s">
        <v>192</v>
      </c>
      <c r="C37" s="66" t="s">
        <v>628</v>
      </c>
      <c r="D37" s="118" t="s">
        <v>160</v>
      </c>
      <c r="E37" s="118" t="s">
        <v>161</v>
      </c>
      <c r="F37" s="117"/>
      <c r="G37" s="66">
        <v>2</v>
      </c>
      <c r="H37" s="65" t="s">
        <v>463</v>
      </c>
      <c r="I37" s="140" t="s">
        <v>542</v>
      </c>
      <c r="J37" s="140" t="s">
        <v>543</v>
      </c>
      <c r="K37" s="65"/>
      <c r="L37" s="65"/>
      <c r="M37" s="65" t="s">
        <v>631</v>
      </c>
      <c r="N37" s="65" t="s">
        <v>632</v>
      </c>
      <c r="O37" s="65" t="s">
        <v>632</v>
      </c>
      <c r="P37" s="65"/>
      <c r="Q37" s="65"/>
      <c r="R37" s="65"/>
      <c r="S37" s="65"/>
      <c r="T37" s="65"/>
      <c r="U37" s="51"/>
      <c r="V37" s="51"/>
      <c r="W37" s="51"/>
      <c r="X37" s="51"/>
      <c r="Y37" s="51"/>
      <c r="Z37" s="51"/>
      <c r="AA37" s="55"/>
      <c r="AB37" s="51"/>
      <c r="AC37" s="51"/>
      <c r="AD37" s="100"/>
      <c r="AE37" s="100"/>
      <c r="AF37" s="100"/>
      <c r="AG37" s="51"/>
    </row>
    <row r="38" spans="1:33" ht="21" customHeight="1">
      <c r="A38" s="66" t="s">
        <v>188</v>
      </c>
      <c r="B38" s="66" t="s">
        <v>192</v>
      </c>
      <c r="C38" s="66" t="s">
        <v>628</v>
      </c>
      <c r="D38" s="118" t="s">
        <v>162</v>
      </c>
      <c r="E38" s="118" t="s">
        <v>163</v>
      </c>
      <c r="F38" s="117"/>
      <c r="G38" s="66">
        <v>2</v>
      </c>
      <c r="H38" s="65" t="s">
        <v>463</v>
      </c>
      <c r="I38" s="140" t="s">
        <v>544</v>
      </c>
      <c r="J38" s="140" t="s">
        <v>545</v>
      </c>
      <c r="K38" s="65"/>
      <c r="L38" s="65"/>
      <c r="M38" s="65" t="s">
        <v>631</v>
      </c>
      <c r="N38" s="65" t="s">
        <v>633</v>
      </c>
      <c r="O38" s="65" t="s">
        <v>633</v>
      </c>
      <c r="P38" s="65"/>
      <c r="Q38" s="65"/>
      <c r="R38" s="65"/>
      <c r="S38" s="65"/>
      <c r="T38" s="65"/>
      <c r="U38" s="51"/>
      <c r="V38" s="51"/>
      <c r="W38" s="51"/>
      <c r="X38" s="51"/>
      <c r="Y38" s="51"/>
      <c r="Z38" s="51"/>
      <c r="AA38" s="55"/>
      <c r="AB38" s="51"/>
      <c r="AC38" s="51"/>
      <c r="AD38" s="100"/>
      <c r="AE38" s="100"/>
      <c r="AF38" s="100"/>
      <c r="AG38" s="51"/>
    </row>
    <row r="39" spans="1:33" ht="21" customHeight="1">
      <c r="A39" s="66" t="s">
        <v>188</v>
      </c>
      <c r="B39" s="66" t="s">
        <v>192</v>
      </c>
      <c r="C39" s="66" t="s">
        <v>628</v>
      </c>
      <c r="D39" s="118" t="s">
        <v>164</v>
      </c>
      <c r="E39" s="118" t="s">
        <v>165</v>
      </c>
      <c r="F39" s="117"/>
      <c r="G39" s="66">
        <v>2</v>
      </c>
      <c r="H39" s="65" t="s">
        <v>463</v>
      </c>
      <c r="I39" s="140" t="s">
        <v>546</v>
      </c>
      <c r="J39" s="140" t="s">
        <v>547</v>
      </c>
      <c r="K39" s="65"/>
      <c r="L39" s="65"/>
      <c r="M39" s="65" t="s">
        <v>631</v>
      </c>
      <c r="N39" s="65" t="s">
        <v>634</v>
      </c>
      <c r="O39" s="65" t="s">
        <v>634</v>
      </c>
      <c r="P39" s="65"/>
      <c r="Q39" s="65"/>
      <c r="R39" s="65"/>
      <c r="S39" s="65"/>
      <c r="T39" s="65"/>
      <c r="U39" s="51"/>
      <c r="V39" s="51"/>
      <c r="W39" s="51"/>
      <c r="X39" s="51"/>
      <c r="Y39" s="51"/>
      <c r="Z39" s="51"/>
      <c r="AA39" s="55"/>
      <c r="AB39" s="51"/>
      <c r="AC39" s="51"/>
      <c r="AD39" s="100"/>
      <c r="AE39" s="100"/>
      <c r="AF39" s="100"/>
      <c r="AG39" s="51"/>
    </row>
    <row r="40" spans="1:33" ht="21" customHeight="1">
      <c r="A40" s="66" t="s">
        <v>188</v>
      </c>
      <c r="B40" s="66" t="s">
        <v>192</v>
      </c>
      <c r="C40" s="156" t="s">
        <v>629</v>
      </c>
      <c r="D40" s="118" t="s">
        <v>166</v>
      </c>
      <c r="E40" s="118" t="s">
        <v>167</v>
      </c>
      <c r="F40" s="117"/>
      <c r="G40" s="128">
        <v>1</v>
      </c>
      <c r="H40" s="65" t="s">
        <v>476</v>
      </c>
      <c r="I40" s="65" t="s">
        <v>617</v>
      </c>
      <c r="J40" s="65" t="s">
        <v>617</v>
      </c>
      <c r="K40" s="65"/>
      <c r="L40" s="65"/>
      <c r="M40" s="49"/>
      <c r="N40" s="49"/>
      <c r="O40" s="49"/>
      <c r="P40" s="49"/>
      <c r="Q40" s="49"/>
      <c r="R40" s="49"/>
      <c r="S40" s="49"/>
      <c r="T40" s="65"/>
      <c r="U40" s="51"/>
      <c r="V40" s="51"/>
      <c r="W40" s="51"/>
      <c r="X40" s="51"/>
      <c r="Y40" s="51"/>
      <c r="Z40" s="51"/>
      <c r="AA40" s="55"/>
      <c r="AB40" s="51"/>
      <c r="AC40" s="51"/>
      <c r="AD40" s="100"/>
      <c r="AE40" s="100"/>
      <c r="AF40" s="100"/>
      <c r="AG40" s="51"/>
    </row>
    <row r="41" spans="1:33" ht="21" customHeight="1">
      <c r="A41" s="66" t="s">
        <v>188</v>
      </c>
      <c r="B41" s="66" t="s">
        <v>192</v>
      </c>
      <c r="C41" s="156" t="s">
        <v>629</v>
      </c>
      <c r="D41" s="118" t="s">
        <v>168</v>
      </c>
      <c r="E41" s="118" t="s">
        <v>169</v>
      </c>
      <c r="F41" s="117"/>
      <c r="G41" s="128">
        <v>1</v>
      </c>
      <c r="H41" s="65" t="s">
        <v>476</v>
      </c>
      <c r="I41" s="65" t="s">
        <v>617</v>
      </c>
      <c r="J41" s="65" t="s">
        <v>617</v>
      </c>
      <c r="K41" s="65"/>
      <c r="L41" s="65"/>
      <c r="M41" s="49"/>
      <c r="N41" s="49"/>
      <c r="O41" s="49"/>
      <c r="P41" s="49"/>
      <c r="Q41" s="49"/>
      <c r="R41" s="49"/>
      <c r="S41" s="49"/>
      <c r="T41" s="65"/>
      <c r="U41" s="51"/>
      <c r="V41" s="51"/>
      <c r="W41" s="51"/>
      <c r="X41" s="51"/>
      <c r="Y41" s="51"/>
      <c r="Z41" s="51"/>
      <c r="AA41" s="55"/>
      <c r="AB41" s="51"/>
      <c r="AC41" s="51"/>
      <c r="AD41" s="100"/>
      <c r="AE41" s="100"/>
      <c r="AF41" s="100"/>
      <c r="AG41" s="51"/>
    </row>
    <row r="42" spans="1:33" ht="21" customHeight="1">
      <c r="A42" s="66" t="s">
        <v>188</v>
      </c>
      <c r="B42" s="66" t="s">
        <v>192</v>
      </c>
      <c r="C42" s="66" t="s">
        <v>628</v>
      </c>
      <c r="D42" s="118" t="s">
        <v>170</v>
      </c>
      <c r="E42" s="118" t="s">
        <v>461</v>
      </c>
      <c r="F42" s="117"/>
      <c r="G42" s="66">
        <v>2</v>
      </c>
      <c r="H42" s="65" t="s">
        <v>463</v>
      </c>
      <c r="I42" s="140" t="s">
        <v>548</v>
      </c>
      <c r="J42" s="140" t="s">
        <v>549</v>
      </c>
      <c r="K42" s="65"/>
      <c r="L42" s="65"/>
      <c r="M42" s="65" t="s">
        <v>631</v>
      </c>
      <c r="N42" s="65" t="s">
        <v>635</v>
      </c>
      <c r="O42" s="65" t="s">
        <v>636</v>
      </c>
      <c r="P42" s="65"/>
      <c r="Q42" s="65"/>
      <c r="R42" s="65"/>
      <c r="S42" s="65"/>
      <c r="T42" s="65"/>
      <c r="U42" s="51"/>
      <c r="V42" s="51"/>
      <c r="W42" s="51"/>
      <c r="X42" s="51"/>
      <c r="Y42" s="51"/>
      <c r="Z42" s="51"/>
      <c r="AA42" s="55"/>
      <c r="AB42" s="51"/>
      <c r="AC42" s="51"/>
      <c r="AD42" s="100"/>
      <c r="AE42" s="100"/>
      <c r="AF42" s="100"/>
      <c r="AG42" s="51"/>
    </row>
    <row r="43" spans="1:33" ht="21" customHeight="1">
      <c r="A43" s="66" t="s">
        <v>188</v>
      </c>
      <c r="B43" s="66" t="s">
        <v>193</v>
      </c>
      <c r="C43" s="66" t="s">
        <v>628</v>
      </c>
      <c r="D43" s="118" t="s">
        <v>171</v>
      </c>
      <c r="E43" s="118" t="s">
        <v>462</v>
      </c>
      <c r="F43" s="117"/>
      <c r="G43" s="66">
        <v>2</v>
      </c>
      <c r="H43" s="65" t="s">
        <v>463</v>
      </c>
      <c r="I43" s="140" t="s">
        <v>550</v>
      </c>
      <c r="J43" s="140" t="s">
        <v>551</v>
      </c>
      <c r="K43" s="65"/>
      <c r="L43" s="65"/>
      <c r="M43" s="65" t="s">
        <v>637</v>
      </c>
      <c r="N43" s="65" t="s">
        <v>638</v>
      </c>
      <c r="O43" s="65" t="s">
        <v>639</v>
      </c>
      <c r="P43" s="65"/>
      <c r="Q43" s="65"/>
      <c r="R43" s="65"/>
      <c r="S43" s="65"/>
      <c r="T43" s="65"/>
      <c r="U43" s="51"/>
      <c r="V43" s="51"/>
      <c r="W43" s="51"/>
      <c r="X43" s="51"/>
      <c r="Y43" s="51"/>
      <c r="Z43" s="51"/>
      <c r="AA43" s="55"/>
      <c r="AB43" s="51"/>
      <c r="AC43" s="51"/>
      <c r="AD43" s="100"/>
      <c r="AE43" s="100"/>
      <c r="AF43" s="100"/>
      <c r="AG43" s="51"/>
    </row>
    <row r="44" spans="1:33" ht="21" customHeight="1">
      <c r="A44" s="66" t="s">
        <v>188</v>
      </c>
      <c r="B44" s="66" t="s">
        <v>193</v>
      </c>
      <c r="C44" s="156" t="s">
        <v>629</v>
      </c>
      <c r="D44" s="118" t="s">
        <v>172</v>
      </c>
      <c r="E44" s="118" t="s">
        <v>173</v>
      </c>
      <c r="F44" s="117"/>
      <c r="G44" s="128">
        <v>1</v>
      </c>
      <c r="H44" s="65" t="s">
        <v>476</v>
      </c>
      <c r="I44" s="65" t="s">
        <v>617</v>
      </c>
      <c r="J44" s="65" t="s">
        <v>617</v>
      </c>
      <c r="K44" s="65"/>
      <c r="L44" s="65"/>
      <c r="M44" s="49"/>
      <c r="N44" s="49"/>
      <c r="O44" s="49"/>
      <c r="P44" s="49"/>
      <c r="Q44" s="49"/>
      <c r="R44" s="49"/>
      <c r="S44" s="49"/>
      <c r="T44" s="65"/>
      <c r="U44" s="51"/>
      <c r="V44" s="51"/>
      <c r="W44" s="51"/>
      <c r="X44" s="51"/>
      <c r="Y44" s="51"/>
      <c r="Z44" s="51"/>
      <c r="AA44" s="55"/>
      <c r="AB44" s="51"/>
      <c r="AC44" s="51"/>
      <c r="AD44" s="100"/>
      <c r="AE44" s="100"/>
      <c r="AF44" s="100"/>
      <c r="AG44" s="51"/>
    </row>
    <row r="45" spans="1:33" ht="21" customHeight="1">
      <c r="A45" s="66" t="s">
        <v>188</v>
      </c>
      <c r="B45" s="66" t="s">
        <v>193</v>
      </c>
      <c r="C45" s="156" t="s">
        <v>629</v>
      </c>
      <c r="D45" s="118" t="s">
        <v>174</v>
      </c>
      <c r="E45" s="118" t="s">
        <v>175</v>
      </c>
      <c r="F45" s="117"/>
      <c r="G45" s="128">
        <v>1</v>
      </c>
      <c r="H45" s="65" t="s">
        <v>476</v>
      </c>
      <c r="I45" s="65" t="s">
        <v>617</v>
      </c>
      <c r="J45" s="65" t="s">
        <v>617</v>
      </c>
      <c r="K45" s="65"/>
      <c r="L45" s="65"/>
      <c r="M45" s="49"/>
      <c r="N45" s="49"/>
      <c r="O45" s="49"/>
      <c r="P45" s="49"/>
      <c r="Q45" s="49"/>
      <c r="R45" s="49"/>
      <c r="S45" s="49"/>
      <c r="T45" s="65"/>
      <c r="U45" s="51"/>
      <c r="V45" s="51"/>
      <c r="W45" s="51"/>
      <c r="X45" s="51"/>
      <c r="Y45" s="51"/>
      <c r="Z45" s="51"/>
      <c r="AA45" s="55"/>
      <c r="AB45" s="51"/>
      <c r="AC45" s="51"/>
      <c r="AD45" s="100"/>
      <c r="AE45" s="100"/>
      <c r="AF45" s="100"/>
      <c r="AG45" s="51"/>
    </row>
    <row r="46" spans="1:33" ht="21" customHeight="1">
      <c r="A46" s="66" t="s">
        <v>188</v>
      </c>
      <c r="B46" s="66" t="s">
        <v>193</v>
      </c>
      <c r="C46" s="66" t="s">
        <v>628</v>
      </c>
      <c r="D46" s="118" t="s">
        <v>176</v>
      </c>
      <c r="E46" s="118" t="s">
        <v>460</v>
      </c>
      <c r="F46" s="117"/>
      <c r="G46" s="66">
        <v>2</v>
      </c>
      <c r="H46" s="65" t="s">
        <v>463</v>
      </c>
      <c r="I46" s="65" t="s">
        <v>552</v>
      </c>
      <c r="J46" s="65" t="s">
        <v>553</v>
      </c>
      <c r="K46" s="65"/>
      <c r="L46" s="65"/>
      <c r="M46" s="65" t="s">
        <v>631</v>
      </c>
      <c r="N46" s="65" t="s">
        <v>640</v>
      </c>
      <c r="O46" s="65" t="s">
        <v>641</v>
      </c>
      <c r="P46" s="65"/>
      <c r="Q46" s="65"/>
      <c r="R46" s="65"/>
      <c r="S46" s="65"/>
      <c r="T46" s="65"/>
      <c r="U46" s="51"/>
      <c r="V46" s="51"/>
      <c r="W46" s="51"/>
      <c r="X46" s="51"/>
      <c r="Y46" s="51"/>
      <c r="Z46" s="51"/>
      <c r="AA46" s="55"/>
      <c r="AB46" s="51"/>
      <c r="AC46" s="51"/>
      <c r="AD46" s="100"/>
      <c r="AE46" s="100"/>
      <c r="AF46" s="100"/>
      <c r="AG46" s="51"/>
    </row>
    <row r="47" spans="1:33" ht="21" customHeight="1">
      <c r="A47" s="66" t="s">
        <v>188</v>
      </c>
      <c r="B47" s="66" t="s">
        <v>193</v>
      </c>
      <c r="C47" s="66" t="s">
        <v>628</v>
      </c>
      <c r="D47" s="118" t="s">
        <v>177</v>
      </c>
      <c r="E47" s="118" t="s">
        <v>459</v>
      </c>
      <c r="F47" s="117"/>
      <c r="G47" s="52">
        <v>2</v>
      </c>
      <c r="H47" s="65" t="s">
        <v>463</v>
      </c>
      <c r="I47" s="65" t="s">
        <v>554</v>
      </c>
      <c r="J47" s="65" t="s">
        <v>555</v>
      </c>
      <c r="K47" s="65"/>
      <c r="L47" s="65"/>
      <c r="M47" s="65" t="s">
        <v>637</v>
      </c>
      <c r="N47" s="65" t="s">
        <v>642</v>
      </c>
      <c r="O47" s="65" t="s">
        <v>642</v>
      </c>
      <c r="P47" s="65"/>
      <c r="Q47" s="65"/>
      <c r="R47" s="65"/>
      <c r="S47" s="65"/>
      <c r="T47" s="65"/>
      <c r="U47" s="51"/>
      <c r="V47" s="51"/>
      <c r="W47" s="51"/>
      <c r="X47" s="51"/>
      <c r="Y47" s="51"/>
      <c r="Z47" s="51"/>
      <c r="AA47" s="55"/>
      <c r="AB47" s="51"/>
      <c r="AC47" s="51"/>
      <c r="AD47" s="100"/>
      <c r="AE47" s="100"/>
      <c r="AF47" s="100"/>
      <c r="AG47" s="51"/>
    </row>
    <row r="48" spans="1:33" ht="21" customHeight="1">
      <c r="A48" s="66" t="s">
        <v>188</v>
      </c>
      <c r="B48" s="66" t="s">
        <v>194</v>
      </c>
      <c r="C48" s="156" t="s">
        <v>629</v>
      </c>
      <c r="D48" s="118" t="s">
        <v>178</v>
      </c>
      <c r="E48" s="118" t="s">
        <v>179</v>
      </c>
      <c r="F48" s="117"/>
      <c r="G48" s="113">
        <v>1</v>
      </c>
      <c r="H48" s="65" t="s">
        <v>620</v>
      </c>
      <c r="I48" s="65" t="s">
        <v>617</v>
      </c>
      <c r="J48" s="65" t="s">
        <v>617</v>
      </c>
      <c r="K48" s="65"/>
      <c r="L48" s="65"/>
      <c r="M48" s="49"/>
      <c r="N48" s="49"/>
      <c r="O48" s="49"/>
      <c r="P48" s="49"/>
      <c r="Q48" s="49"/>
      <c r="R48" s="49"/>
      <c r="S48" s="49"/>
      <c r="T48" s="65"/>
      <c r="U48" s="51"/>
      <c r="V48" s="51"/>
      <c r="W48" s="51"/>
      <c r="X48" s="51"/>
      <c r="Y48" s="51"/>
      <c r="Z48" s="51"/>
      <c r="AA48" s="55"/>
      <c r="AB48" s="51"/>
      <c r="AC48" s="51"/>
      <c r="AD48" s="100"/>
      <c r="AE48" s="100"/>
      <c r="AF48" s="100"/>
      <c r="AG48" s="51"/>
    </row>
    <row r="49" spans="1:33" ht="21" customHeight="1">
      <c r="A49" s="66" t="s">
        <v>188</v>
      </c>
      <c r="B49" s="66" t="s">
        <v>194</v>
      </c>
      <c r="C49" s="156" t="s">
        <v>629</v>
      </c>
      <c r="D49" s="118" t="s">
        <v>180</v>
      </c>
      <c r="E49" s="118" t="s">
        <v>181</v>
      </c>
      <c r="F49" s="117"/>
      <c r="G49" s="113">
        <v>1</v>
      </c>
      <c r="H49" s="65" t="s">
        <v>620</v>
      </c>
      <c r="I49" s="65" t="s">
        <v>617</v>
      </c>
      <c r="J49" s="65" t="s">
        <v>617</v>
      </c>
      <c r="K49" s="65"/>
      <c r="L49" s="65"/>
      <c r="M49" s="49"/>
      <c r="N49" s="49"/>
      <c r="O49" s="49"/>
      <c r="P49" s="49"/>
      <c r="Q49" s="49"/>
      <c r="R49" s="49"/>
      <c r="S49" s="49"/>
      <c r="T49" s="65"/>
      <c r="U49" s="51"/>
      <c r="V49" s="51"/>
      <c r="W49" s="51"/>
      <c r="X49" s="51"/>
      <c r="Y49" s="51"/>
      <c r="Z49" s="51"/>
      <c r="AA49" s="55"/>
      <c r="AB49" s="51"/>
      <c r="AC49" s="51"/>
      <c r="AD49" s="100"/>
      <c r="AE49" s="100"/>
      <c r="AF49" s="100"/>
      <c r="AG49" s="51"/>
    </row>
    <row r="50" spans="1:33" ht="21" customHeight="1">
      <c r="A50" s="66" t="s">
        <v>188</v>
      </c>
      <c r="B50" s="66" t="s">
        <v>194</v>
      </c>
      <c r="C50" s="156" t="s">
        <v>629</v>
      </c>
      <c r="D50" s="118" t="s">
        <v>182</v>
      </c>
      <c r="E50" s="118" t="s">
        <v>183</v>
      </c>
      <c r="F50" s="117"/>
      <c r="G50" s="113">
        <v>1</v>
      </c>
      <c r="H50" s="65" t="s">
        <v>620</v>
      </c>
      <c r="I50" s="65" t="s">
        <v>617</v>
      </c>
      <c r="J50" s="65" t="s">
        <v>617</v>
      </c>
      <c r="K50" s="65"/>
      <c r="L50" s="65"/>
      <c r="M50" s="49"/>
      <c r="N50" s="49"/>
      <c r="O50" s="49"/>
      <c r="P50" s="49"/>
      <c r="Q50" s="49"/>
      <c r="R50" s="49"/>
      <c r="S50" s="49"/>
      <c r="T50" s="65"/>
      <c r="U50" s="51"/>
      <c r="V50" s="51"/>
      <c r="W50" s="51"/>
      <c r="X50" s="51"/>
      <c r="Y50" s="51"/>
      <c r="Z50" s="51"/>
      <c r="AA50" s="55"/>
      <c r="AB50" s="51"/>
      <c r="AC50" s="51"/>
      <c r="AD50" s="100"/>
      <c r="AE50" s="100"/>
      <c r="AF50" s="100"/>
      <c r="AG50" s="51"/>
    </row>
    <row r="51" spans="1:33" ht="21" customHeight="1">
      <c r="A51" s="66" t="s">
        <v>188</v>
      </c>
      <c r="B51" s="66" t="s">
        <v>195</v>
      </c>
      <c r="C51" s="66" t="s">
        <v>628</v>
      </c>
      <c r="D51" s="118" t="s">
        <v>184</v>
      </c>
      <c r="E51" s="118" t="s">
        <v>185</v>
      </c>
      <c r="F51" s="117"/>
      <c r="G51" s="66">
        <v>2</v>
      </c>
      <c r="H51" s="65" t="s">
        <v>463</v>
      </c>
      <c r="I51" s="65" t="s">
        <v>556</v>
      </c>
      <c r="J51" s="65" t="s">
        <v>557</v>
      </c>
      <c r="K51" s="65"/>
      <c r="L51" s="65"/>
      <c r="M51" s="65" t="s">
        <v>643</v>
      </c>
      <c r="N51" s="65" t="s">
        <v>644</v>
      </c>
      <c r="O51" s="65" t="s">
        <v>644</v>
      </c>
      <c r="P51" s="65"/>
      <c r="Q51" s="65"/>
      <c r="R51" s="65"/>
      <c r="S51" s="65"/>
      <c r="T51" s="65"/>
      <c r="U51" s="51"/>
      <c r="V51" s="51"/>
      <c r="W51" s="51"/>
      <c r="X51" s="51"/>
      <c r="Y51" s="51"/>
      <c r="Z51" s="51"/>
      <c r="AA51" s="55"/>
      <c r="AB51" s="51"/>
      <c r="AC51" s="51"/>
      <c r="AD51" s="100"/>
      <c r="AE51" s="100"/>
      <c r="AF51" s="100"/>
      <c r="AG51" s="51"/>
    </row>
    <row r="52" spans="1:33" ht="21" customHeight="1">
      <c r="A52" s="66" t="s">
        <v>188</v>
      </c>
      <c r="B52" s="66" t="s">
        <v>195</v>
      </c>
      <c r="C52" s="66" t="s">
        <v>628</v>
      </c>
      <c r="D52" s="126" t="s">
        <v>186</v>
      </c>
      <c r="E52" s="126" t="s">
        <v>187</v>
      </c>
      <c r="F52" s="117"/>
      <c r="G52" s="66">
        <v>2</v>
      </c>
      <c r="H52" s="65" t="s">
        <v>463</v>
      </c>
      <c r="I52" s="65" t="s">
        <v>558</v>
      </c>
      <c r="J52" s="65" t="s">
        <v>559</v>
      </c>
      <c r="K52" s="65"/>
      <c r="L52" s="65"/>
      <c r="M52" s="65" t="s">
        <v>631</v>
      </c>
      <c r="N52" s="65" t="s">
        <v>646</v>
      </c>
      <c r="O52" s="65" t="s">
        <v>647</v>
      </c>
      <c r="P52" s="65"/>
      <c r="Q52" s="65"/>
      <c r="R52" s="65"/>
      <c r="S52" s="65"/>
      <c r="T52" s="65"/>
      <c r="U52" s="51"/>
      <c r="V52" s="51"/>
      <c r="W52" s="51"/>
      <c r="X52" s="51"/>
      <c r="Y52" s="51"/>
      <c r="Z52" s="51"/>
      <c r="AA52" s="55"/>
      <c r="AB52" s="51"/>
      <c r="AC52" s="51"/>
      <c r="AD52" s="100"/>
      <c r="AE52" s="100"/>
      <c r="AF52" s="100"/>
      <c r="AG52" s="51"/>
    </row>
    <row r="53" spans="1:33" ht="21" customHeight="1">
      <c r="A53" s="66" t="s">
        <v>228</v>
      </c>
      <c r="B53" s="66" t="s">
        <v>229</v>
      </c>
      <c r="C53" s="66" t="s">
        <v>628</v>
      </c>
      <c r="D53" s="125" t="s">
        <v>200</v>
      </c>
      <c r="E53" s="125" t="s">
        <v>201</v>
      </c>
      <c r="F53" s="117"/>
      <c r="G53" s="66">
        <v>2</v>
      </c>
      <c r="H53" s="65" t="s">
        <v>466</v>
      </c>
      <c r="I53" s="52" t="s">
        <v>542</v>
      </c>
      <c r="J53" s="52" t="s">
        <v>543</v>
      </c>
      <c r="K53" s="65"/>
      <c r="L53" s="65"/>
      <c r="M53" s="65" t="s">
        <v>631</v>
      </c>
      <c r="N53" s="65" t="s">
        <v>648</v>
      </c>
      <c r="O53" s="65" t="s">
        <v>632</v>
      </c>
      <c r="P53" s="65"/>
      <c r="Q53" s="65"/>
      <c r="R53" s="65"/>
      <c r="S53" s="65"/>
      <c r="T53" s="65"/>
      <c r="U53" s="51"/>
      <c r="V53" s="51"/>
      <c r="W53" s="51"/>
      <c r="X53" s="51"/>
      <c r="Y53" s="51"/>
      <c r="Z53" s="51"/>
      <c r="AA53" s="55"/>
      <c r="AB53" s="51"/>
      <c r="AC53" s="51"/>
      <c r="AD53" s="100"/>
      <c r="AE53" s="100"/>
      <c r="AF53" s="100"/>
      <c r="AG53" s="51"/>
    </row>
    <row r="54" spans="1:33" ht="21" customHeight="1">
      <c r="A54" s="66" t="s">
        <v>228</v>
      </c>
      <c r="B54" s="66" t="s">
        <v>229</v>
      </c>
      <c r="C54" s="66" t="s">
        <v>628</v>
      </c>
      <c r="D54" s="125" t="s">
        <v>202</v>
      </c>
      <c r="E54" s="125" t="s">
        <v>203</v>
      </c>
      <c r="F54" s="117"/>
      <c r="G54" s="66">
        <v>2</v>
      </c>
      <c r="H54" s="65" t="s">
        <v>466</v>
      </c>
      <c r="I54" s="52" t="s">
        <v>544</v>
      </c>
      <c r="J54" s="52" t="s">
        <v>560</v>
      </c>
      <c r="K54" s="65"/>
      <c r="L54" s="65"/>
      <c r="M54" s="65" t="s">
        <v>631</v>
      </c>
      <c r="N54" s="65" t="s">
        <v>649</v>
      </c>
      <c r="O54" s="65" t="s">
        <v>649</v>
      </c>
      <c r="P54" s="65"/>
      <c r="Q54" s="65"/>
      <c r="R54" s="65"/>
      <c r="S54" s="65"/>
      <c r="T54" s="65"/>
      <c r="U54" s="51"/>
      <c r="V54" s="51"/>
      <c r="W54" s="51"/>
      <c r="X54" s="51"/>
      <c r="Y54" s="51"/>
      <c r="Z54" s="51"/>
      <c r="AA54" s="55"/>
      <c r="AB54" s="51"/>
      <c r="AC54" s="51"/>
      <c r="AD54" s="51"/>
      <c r="AE54" s="51"/>
      <c r="AF54" s="51"/>
      <c r="AG54" s="51"/>
    </row>
    <row r="55" spans="1:33" ht="21" customHeight="1">
      <c r="A55" s="66" t="s">
        <v>228</v>
      </c>
      <c r="B55" s="66" t="s">
        <v>229</v>
      </c>
      <c r="C55" s="66" t="s">
        <v>628</v>
      </c>
      <c r="D55" s="125" t="s">
        <v>204</v>
      </c>
      <c r="E55" s="125" t="s">
        <v>205</v>
      </c>
      <c r="F55" s="117"/>
      <c r="G55" s="66">
        <v>2</v>
      </c>
      <c r="H55" s="65" t="s">
        <v>466</v>
      </c>
      <c r="I55" s="52" t="s">
        <v>546</v>
      </c>
      <c r="J55" s="52" t="s">
        <v>547</v>
      </c>
      <c r="K55" s="65"/>
      <c r="L55" s="65"/>
      <c r="M55" s="65" t="s">
        <v>631</v>
      </c>
      <c r="N55" s="65" t="s">
        <v>634</v>
      </c>
      <c r="O55" s="65" t="s">
        <v>650</v>
      </c>
      <c r="P55" s="65"/>
      <c r="Q55" s="65"/>
      <c r="R55" s="65"/>
      <c r="S55" s="65"/>
      <c r="T55" s="65"/>
      <c r="U55" s="51"/>
      <c r="V55" s="51"/>
      <c r="W55" s="51"/>
      <c r="X55" s="51"/>
      <c r="Y55" s="51"/>
      <c r="Z55" s="51"/>
      <c r="AA55" s="55"/>
      <c r="AB55" s="51"/>
      <c r="AC55" s="51"/>
      <c r="AD55" s="51"/>
      <c r="AE55" s="51"/>
      <c r="AF55" s="51"/>
      <c r="AG55" s="51"/>
    </row>
    <row r="56" spans="1:33" ht="21" customHeight="1">
      <c r="A56" s="66" t="s">
        <v>228</v>
      </c>
      <c r="B56" s="66" t="s">
        <v>229</v>
      </c>
      <c r="C56" s="66" t="s">
        <v>628</v>
      </c>
      <c r="D56" s="125" t="s">
        <v>206</v>
      </c>
      <c r="E56" s="125" t="s">
        <v>207</v>
      </c>
      <c r="F56" s="117"/>
      <c r="G56" s="66">
        <v>3</v>
      </c>
      <c r="H56" s="65" t="s">
        <v>466</v>
      </c>
      <c r="I56" s="52" t="s">
        <v>548</v>
      </c>
      <c r="J56" s="52" t="s">
        <v>550</v>
      </c>
      <c r="K56" s="65"/>
      <c r="L56" s="65"/>
      <c r="M56" s="65" t="s">
        <v>631</v>
      </c>
      <c r="N56" s="65" t="s">
        <v>651</v>
      </c>
      <c r="O56" s="65" t="s">
        <v>652</v>
      </c>
      <c r="P56" s="65"/>
      <c r="Q56" s="65"/>
      <c r="R56" s="65"/>
      <c r="S56" s="65"/>
      <c r="T56" s="65"/>
      <c r="U56" s="51"/>
      <c r="V56" s="51"/>
      <c r="W56" s="51"/>
      <c r="X56" s="51"/>
      <c r="Y56" s="51"/>
      <c r="Z56" s="51"/>
      <c r="AA56" s="55"/>
      <c r="AB56" s="51"/>
      <c r="AC56" s="51"/>
      <c r="AD56" s="51"/>
      <c r="AE56" s="51"/>
      <c r="AF56" s="51"/>
      <c r="AG56" s="51"/>
    </row>
    <row r="57" spans="1:33" ht="21" customHeight="1">
      <c r="A57" s="66" t="s">
        <v>228</v>
      </c>
      <c r="B57" s="66" t="s">
        <v>229</v>
      </c>
      <c r="C57" s="66" t="s">
        <v>628</v>
      </c>
      <c r="D57" s="125" t="s">
        <v>208</v>
      </c>
      <c r="E57" s="125" t="s">
        <v>209</v>
      </c>
      <c r="F57" s="117"/>
      <c r="G57" s="66">
        <v>1</v>
      </c>
      <c r="H57" s="65" t="s">
        <v>466</v>
      </c>
      <c r="I57" s="52" t="s">
        <v>561</v>
      </c>
      <c r="J57" s="52" t="s">
        <v>561</v>
      </c>
      <c r="K57" s="65"/>
      <c r="L57" s="65"/>
      <c r="M57" s="65" t="s">
        <v>637</v>
      </c>
      <c r="N57" s="65" t="s">
        <v>653</v>
      </c>
      <c r="O57" s="65" t="s">
        <v>638</v>
      </c>
      <c r="P57" s="65"/>
      <c r="Q57" s="65"/>
      <c r="R57" s="65"/>
      <c r="S57" s="65"/>
      <c r="T57" s="65"/>
      <c r="U57" s="51"/>
      <c r="V57" s="51"/>
      <c r="W57" s="51"/>
      <c r="X57" s="51"/>
      <c r="Y57" s="51"/>
      <c r="Z57" s="51"/>
      <c r="AA57" s="55"/>
      <c r="AB57" s="51"/>
      <c r="AC57" s="51"/>
      <c r="AD57" s="51"/>
      <c r="AE57" s="51"/>
      <c r="AF57" s="51"/>
      <c r="AG57" s="51"/>
    </row>
    <row r="58" spans="1:33" ht="21" customHeight="1">
      <c r="A58" s="66" t="s">
        <v>228</v>
      </c>
      <c r="B58" s="66" t="s">
        <v>229</v>
      </c>
      <c r="C58" s="66" t="s">
        <v>628</v>
      </c>
      <c r="D58" s="125" t="s">
        <v>210</v>
      </c>
      <c r="E58" s="125" t="s">
        <v>211</v>
      </c>
      <c r="F58" s="117"/>
      <c r="G58" s="66">
        <v>2</v>
      </c>
      <c r="H58" s="65" t="s">
        <v>466</v>
      </c>
      <c r="I58" s="52" t="s">
        <v>552</v>
      </c>
      <c r="J58" s="52" t="s">
        <v>562</v>
      </c>
      <c r="K58" s="65"/>
      <c r="L58" s="65"/>
      <c r="M58" s="65" t="s">
        <v>631</v>
      </c>
      <c r="N58" s="65" t="s">
        <v>640</v>
      </c>
      <c r="O58" s="65" t="s">
        <v>640</v>
      </c>
      <c r="P58" s="65"/>
      <c r="Q58" s="65"/>
      <c r="R58" s="65"/>
      <c r="S58" s="65"/>
      <c r="T58" s="65"/>
      <c r="U58" s="51"/>
      <c r="V58" s="51"/>
      <c r="W58" s="51"/>
      <c r="X58" s="51"/>
      <c r="Y58" s="51"/>
      <c r="Z58" s="51"/>
      <c r="AA58" s="55"/>
      <c r="AB58" s="51"/>
      <c r="AC58" s="51"/>
      <c r="AD58" s="51"/>
      <c r="AE58" s="51"/>
      <c r="AF58" s="51"/>
      <c r="AG58" s="51"/>
    </row>
    <row r="59" spans="1:33" ht="21" customHeight="1">
      <c r="A59" s="66" t="s">
        <v>228</v>
      </c>
      <c r="B59" s="66" t="s">
        <v>229</v>
      </c>
      <c r="C59" s="66" t="s">
        <v>628</v>
      </c>
      <c r="D59" s="125" t="s">
        <v>212</v>
      </c>
      <c r="E59" s="125" t="s">
        <v>213</v>
      </c>
      <c r="F59" s="119"/>
      <c r="G59" s="66">
        <v>1</v>
      </c>
      <c r="H59" s="65" t="s">
        <v>466</v>
      </c>
      <c r="I59" s="52" t="s">
        <v>554</v>
      </c>
      <c r="J59" s="52" t="s">
        <v>554</v>
      </c>
      <c r="K59" s="62"/>
      <c r="L59" s="62"/>
      <c r="M59" s="65" t="s">
        <v>637</v>
      </c>
      <c r="N59" s="65" t="s">
        <v>655</v>
      </c>
      <c r="O59" s="65" t="s">
        <v>654</v>
      </c>
      <c r="P59" s="62"/>
      <c r="Q59" s="62"/>
      <c r="R59" s="65"/>
      <c r="S59" s="65"/>
      <c r="T59" s="65"/>
      <c r="U59" s="51"/>
      <c r="V59" s="51"/>
      <c r="W59" s="51"/>
      <c r="X59" s="51"/>
      <c r="Y59" s="51"/>
      <c r="Z59" s="51"/>
      <c r="AA59" s="55"/>
      <c r="AB59" s="51"/>
      <c r="AC59" s="51"/>
      <c r="AD59" s="51"/>
      <c r="AE59" s="51"/>
      <c r="AF59" s="51"/>
      <c r="AG59" s="51"/>
    </row>
    <row r="60" spans="1:33" ht="21" customHeight="1">
      <c r="A60" s="66" t="s">
        <v>228</v>
      </c>
      <c r="B60" s="66" t="s">
        <v>229</v>
      </c>
      <c r="C60" s="66" t="s">
        <v>628</v>
      </c>
      <c r="D60" s="125" t="s">
        <v>214</v>
      </c>
      <c r="E60" s="125" t="s">
        <v>215</v>
      </c>
      <c r="F60" s="117"/>
      <c r="G60" s="66">
        <v>2</v>
      </c>
      <c r="H60" s="65" t="s">
        <v>466</v>
      </c>
      <c r="I60" s="52" t="s">
        <v>563</v>
      </c>
      <c r="J60" s="52" t="s">
        <v>556</v>
      </c>
      <c r="K60" s="65"/>
      <c r="L60" s="65"/>
      <c r="M60" s="65" t="s">
        <v>631</v>
      </c>
      <c r="N60" s="65" t="s">
        <v>656</v>
      </c>
      <c r="O60" s="65" t="s">
        <v>656</v>
      </c>
      <c r="P60" s="65"/>
      <c r="Q60" s="65"/>
      <c r="R60" s="65"/>
      <c r="S60" s="65"/>
      <c r="T60" s="65"/>
      <c r="U60" s="51"/>
      <c r="V60" s="51"/>
      <c r="W60" s="51"/>
      <c r="X60" s="51"/>
      <c r="Y60" s="51"/>
      <c r="Z60" s="51"/>
      <c r="AA60" s="55"/>
      <c r="AB60" s="51"/>
      <c r="AC60" s="51"/>
      <c r="AD60" s="51"/>
      <c r="AE60" s="51"/>
      <c r="AF60" s="51"/>
      <c r="AG60" s="51"/>
    </row>
    <row r="61" spans="1:33" ht="21" customHeight="1">
      <c r="A61" s="66" t="s">
        <v>228</v>
      </c>
      <c r="B61" s="66" t="s">
        <v>229</v>
      </c>
      <c r="C61" s="156" t="s">
        <v>629</v>
      </c>
      <c r="D61" s="125" t="s">
        <v>216</v>
      </c>
      <c r="E61" s="125" t="s">
        <v>217</v>
      </c>
      <c r="F61" s="117"/>
      <c r="G61" s="128">
        <v>1</v>
      </c>
      <c r="H61" s="65" t="s">
        <v>477</v>
      </c>
      <c r="I61" s="65" t="s">
        <v>617</v>
      </c>
      <c r="J61" s="65" t="s">
        <v>617</v>
      </c>
      <c r="K61" s="65"/>
      <c r="L61" s="65"/>
      <c r="M61" s="49"/>
      <c r="N61" s="49"/>
      <c r="O61" s="49"/>
      <c r="P61" s="49"/>
      <c r="Q61" s="49"/>
      <c r="R61" s="49"/>
      <c r="S61" s="49"/>
      <c r="T61" s="65"/>
      <c r="U61" s="51"/>
      <c r="V61" s="51"/>
      <c r="W61" s="51"/>
      <c r="X61" s="51"/>
      <c r="Y61" s="51"/>
      <c r="Z61" s="51"/>
      <c r="AA61" s="55"/>
      <c r="AB61" s="51"/>
      <c r="AC61" s="51"/>
      <c r="AD61" s="51"/>
      <c r="AE61" s="51"/>
      <c r="AF61" s="51"/>
      <c r="AG61" s="51"/>
    </row>
    <row r="62" spans="1:33" ht="21" customHeight="1">
      <c r="A62" s="66" t="s">
        <v>228</v>
      </c>
      <c r="B62" s="66" t="s">
        <v>229</v>
      </c>
      <c r="C62" s="156" t="s">
        <v>629</v>
      </c>
      <c r="D62" s="125" t="s">
        <v>218</v>
      </c>
      <c r="E62" s="125" t="s">
        <v>219</v>
      </c>
      <c r="F62" s="117"/>
      <c r="G62" s="128">
        <v>1</v>
      </c>
      <c r="H62" s="65" t="s">
        <v>477</v>
      </c>
      <c r="I62" s="65" t="s">
        <v>617</v>
      </c>
      <c r="J62" s="65" t="s">
        <v>617</v>
      </c>
      <c r="K62" s="65"/>
      <c r="L62" s="65"/>
      <c r="M62" s="49"/>
      <c r="N62" s="49"/>
      <c r="O62" s="49"/>
      <c r="P62" s="49"/>
      <c r="Q62" s="49"/>
      <c r="R62" s="49"/>
      <c r="S62" s="49"/>
      <c r="T62" s="65"/>
      <c r="U62" s="51"/>
      <c r="V62" s="51"/>
      <c r="W62" s="51"/>
      <c r="X62" s="51"/>
      <c r="Y62" s="51"/>
      <c r="Z62" s="51"/>
      <c r="AA62" s="55"/>
      <c r="AB62" s="51"/>
      <c r="AC62" s="51"/>
      <c r="AD62" s="51"/>
      <c r="AE62" s="51"/>
      <c r="AF62" s="51"/>
      <c r="AG62" s="51"/>
    </row>
    <row r="63" spans="1:33" ht="21" customHeight="1">
      <c r="A63" s="66" t="s">
        <v>228</v>
      </c>
      <c r="B63" s="66" t="s">
        <v>229</v>
      </c>
      <c r="C63" s="156" t="s">
        <v>629</v>
      </c>
      <c r="D63" s="125" t="s">
        <v>220</v>
      </c>
      <c r="E63" s="125" t="s">
        <v>221</v>
      </c>
      <c r="F63" s="120"/>
      <c r="G63" s="128">
        <v>1</v>
      </c>
      <c r="H63" s="65" t="s">
        <v>477</v>
      </c>
      <c r="I63" s="65" t="s">
        <v>617</v>
      </c>
      <c r="J63" s="65" t="s">
        <v>617</v>
      </c>
      <c r="K63" s="65"/>
      <c r="L63" s="65"/>
      <c r="M63" s="49"/>
      <c r="N63" s="49"/>
      <c r="O63" s="49"/>
      <c r="P63" s="49"/>
      <c r="Q63" s="49"/>
      <c r="R63" s="49"/>
      <c r="S63" s="49"/>
      <c r="T63" s="65"/>
      <c r="U63" s="51"/>
      <c r="V63" s="51"/>
      <c r="W63" s="51"/>
      <c r="X63" s="51"/>
      <c r="Y63" s="51"/>
      <c r="Z63" s="51"/>
      <c r="AA63" s="55"/>
      <c r="AB63" s="51"/>
      <c r="AC63" s="51"/>
      <c r="AD63" s="65"/>
      <c r="AE63" s="65"/>
      <c r="AF63" s="51"/>
      <c r="AG63" s="51"/>
    </row>
    <row r="64" spans="1:33" ht="21" customHeight="1">
      <c r="A64" s="66" t="s">
        <v>228</v>
      </c>
      <c r="B64" s="66" t="s">
        <v>229</v>
      </c>
      <c r="C64" s="156" t="s">
        <v>629</v>
      </c>
      <c r="D64" s="125" t="s">
        <v>222</v>
      </c>
      <c r="E64" s="125" t="s">
        <v>223</v>
      </c>
      <c r="F64" s="117"/>
      <c r="G64" s="128">
        <v>1</v>
      </c>
      <c r="H64" s="65" t="s">
        <v>477</v>
      </c>
      <c r="I64" s="65" t="s">
        <v>617</v>
      </c>
      <c r="J64" s="65" t="s">
        <v>617</v>
      </c>
      <c r="K64" s="65"/>
      <c r="L64" s="65"/>
      <c r="M64" s="49"/>
      <c r="N64" s="49"/>
      <c r="O64" s="49"/>
      <c r="P64" s="49"/>
      <c r="Q64" s="49"/>
      <c r="R64" s="49"/>
      <c r="S64" s="49"/>
      <c r="T64" s="65"/>
      <c r="U64" s="51"/>
      <c r="V64" s="51"/>
      <c r="W64" s="51"/>
      <c r="X64" s="51"/>
      <c r="Y64" s="51"/>
      <c r="Z64" s="51"/>
      <c r="AA64" s="55"/>
      <c r="AB64" s="51"/>
      <c r="AC64" s="51"/>
      <c r="AD64" s="65"/>
      <c r="AE64" s="65"/>
      <c r="AF64" s="51"/>
      <c r="AG64" s="51"/>
    </row>
    <row r="65" spans="1:33" ht="21" customHeight="1">
      <c r="A65" s="66" t="s">
        <v>228</v>
      </c>
      <c r="B65" s="66" t="s">
        <v>229</v>
      </c>
      <c r="C65" s="156" t="s">
        <v>629</v>
      </c>
      <c r="D65" s="125" t="s">
        <v>224</v>
      </c>
      <c r="E65" s="125" t="s">
        <v>225</v>
      </c>
      <c r="F65" s="117"/>
      <c r="G65" s="128">
        <v>1</v>
      </c>
      <c r="H65" s="65" t="s">
        <v>477</v>
      </c>
      <c r="I65" s="65" t="s">
        <v>617</v>
      </c>
      <c r="J65" s="65" t="s">
        <v>617</v>
      </c>
      <c r="K65" s="65"/>
      <c r="L65" s="65"/>
      <c r="M65" s="49"/>
      <c r="N65" s="49"/>
      <c r="O65" s="49"/>
      <c r="P65" s="49"/>
      <c r="Q65" s="49"/>
      <c r="R65" s="49"/>
      <c r="S65" s="49"/>
      <c r="T65" s="65"/>
      <c r="U65" s="51"/>
      <c r="V65" s="51"/>
      <c r="W65" s="51"/>
      <c r="X65" s="51"/>
      <c r="Y65" s="51"/>
      <c r="Z65" s="51"/>
      <c r="AA65" s="55"/>
      <c r="AB65" s="51"/>
      <c r="AC65" s="51"/>
      <c r="AD65" s="65"/>
      <c r="AE65" s="65"/>
      <c r="AF65" s="51"/>
      <c r="AG65" s="51"/>
    </row>
    <row r="66" spans="1:33" ht="21" customHeight="1">
      <c r="A66" s="66" t="s">
        <v>228</v>
      </c>
      <c r="B66" s="66" t="s">
        <v>229</v>
      </c>
      <c r="C66" s="66" t="s">
        <v>628</v>
      </c>
      <c r="D66" s="127" t="s">
        <v>226</v>
      </c>
      <c r="E66" s="127" t="s">
        <v>227</v>
      </c>
      <c r="F66" s="120"/>
      <c r="G66" s="52">
        <v>2</v>
      </c>
      <c r="H66" s="65" t="s">
        <v>466</v>
      </c>
      <c r="I66" s="52" t="s">
        <v>557</v>
      </c>
      <c r="J66" s="52" t="s">
        <v>558</v>
      </c>
      <c r="K66" s="65"/>
      <c r="L66" s="65"/>
      <c r="M66" s="65" t="s">
        <v>631</v>
      </c>
      <c r="N66" s="65" t="s">
        <v>657</v>
      </c>
      <c r="O66" s="65" t="s">
        <v>658</v>
      </c>
      <c r="P66" s="65"/>
      <c r="Q66" s="65"/>
      <c r="R66" s="65"/>
      <c r="S66" s="65"/>
      <c r="T66" s="65"/>
      <c r="U66" s="51"/>
      <c r="V66" s="51"/>
      <c r="W66" s="51"/>
      <c r="X66" s="51"/>
      <c r="Y66" s="51"/>
      <c r="Z66" s="51"/>
      <c r="AA66" s="55"/>
      <c r="AB66" s="51"/>
      <c r="AC66" s="51"/>
      <c r="AD66" s="65"/>
      <c r="AE66" s="65"/>
      <c r="AF66" s="51"/>
      <c r="AG66" s="51"/>
    </row>
    <row r="67" spans="1:33" ht="21" customHeight="1">
      <c r="A67" s="52" t="s">
        <v>228</v>
      </c>
      <c r="B67" s="52" t="s">
        <v>230</v>
      </c>
      <c r="C67" s="66" t="s">
        <v>628</v>
      </c>
      <c r="D67" s="125" t="s">
        <v>231</v>
      </c>
      <c r="E67" s="125" t="s">
        <v>232</v>
      </c>
      <c r="F67" s="120"/>
      <c r="G67" s="52">
        <v>2</v>
      </c>
      <c r="H67" s="65" t="s">
        <v>466</v>
      </c>
      <c r="I67" s="52" t="s">
        <v>559</v>
      </c>
      <c r="J67" s="52" t="s">
        <v>564</v>
      </c>
      <c r="K67" s="65"/>
      <c r="L67" s="65"/>
      <c r="M67" s="65" t="s">
        <v>637</v>
      </c>
      <c r="N67" s="65" t="s">
        <v>659</v>
      </c>
      <c r="O67" s="65" t="s">
        <v>645</v>
      </c>
      <c r="P67" s="65"/>
      <c r="Q67" s="65"/>
      <c r="R67" s="65"/>
      <c r="S67" s="65"/>
      <c r="T67" s="65"/>
      <c r="U67" s="51"/>
      <c r="V67" s="51"/>
      <c r="W67" s="51"/>
      <c r="X67" s="51"/>
      <c r="Y67" s="51"/>
      <c r="Z67" s="51"/>
      <c r="AA67" s="55"/>
      <c r="AB67" s="51"/>
      <c r="AC67" s="51"/>
      <c r="AD67" s="65"/>
      <c r="AE67" s="65"/>
      <c r="AF67" s="51"/>
      <c r="AG67" s="51"/>
    </row>
    <row r="68" spans="1:33" ht="21" customHeight="1">
      <c r="A68" s="52" t="s">
        <v>228</v>
      </c>
      <c r="B68" s="52" t="s">
        <v>230</v>
      </c>
      <c r="C68" s="66" t="s">
        <v>628</v>
      </c>
      <c r="D68" s="125" t="s">
        <v>233</v>
      </c>
      <c r="E68" s="125" t="s">
        <v>234</v>
      </c>
      <c r="F68" s="120"/>
      <c r="G68" s="52">
        <v>2</v>
      </c>
      <c r="H68" s="65" t="s">
        <v>466</v>
      </c>
      <c r="I68" s="52" t="s">
        <v>565</v>
      </c>
      <c r="J68" s="52" t="s">
        <v>566</v>
      </c>
      <c r="K68" s="65"/>
      <c r="L68" s="65"/>
      <c r="M68" s="65" t="s">
        <v>631</v>
      </c>
      <c r="N68" s="65" t="s">
        <v>660</v>
      </c>
      <c r="O68" s="65" t="s">
        <v>660</v>
      </c>
      <c r="P68" s="65"/>
      <c r="Q68" s="65"/>
      <c r="R68" s="65"/>
      <c r="S68" s="65"/>
      <c r="T68" s="65"/>
      <c r="U68" s="51"/>
      <c r="V68" s="51"/>
      <c r="W68" s="51"/>
      <c r="X68" s="51"/>
      <c r="Y68" s="51"/>
      <c r="Z68" s="51"/>
      <c r="AA68" s="55"/>
      <c r="AB68" s="51"/>
      <c r="AC68" s="51"/>
      <c r="AD68" s="65"/>
      <c r="AE68" s="65"/>
      <c r="AF68" s="51"/>
      <c r="AG68" s="51"/>
    </row>
    <row r="69" spans="1:33" ht="21" customHeight="1">
      <c r="A69" s="52" t="s">
        <v>228</v>
      </c>
      <c r="B69" s="52" t="s">
        <v>230</v>
      </c>
      <c r="C69" s="156" t="s">
        <v>629</v>
      </c>
      <c r="D69" s="125" t="s">
        <v>235</v>
      </c>
      <c r="E69" s="125" t="s">
        <v>236</v>
      </c>
      <c r="F69" s="120"/>
      <c r="G69" s="128">
        <v>1</v>
      </c>
      <c r="H69" s="65" t="s">
        <v>477</v>
      </c>
      <c r="I69" s="65" t="s">
        <v>617</v>
      </c>
      <c r="J69" s="65" t="s">
        <v>617</v>
      </c>
      <c r="K69" s="65"/>
      <c r="L69" s="65"/>
      <c r="M69" s="49"/>
      <c r="N69" s="49"/>
      <c r="O69" s="49"/>
      <c r="P69" s="49"/>
      <c r="Q69" s="49"/>
      <c r="R69" s="49"/>
      <c r="S69" s="49"/>
      <c r="T69" s="65"/>
      <c r="U69" s="51"/>
      <c r="V69" s="51"/>
      <c r="W69" s="51"/>
      <c r="X69" s="51"/>
      <c r="Y69" s="51"/>
      <c r="Z69" s="51"/>
      <c r="AA69" s="55"/>
      <c r="AB69" s="51"/>
      <c r="AC69" s="51"/>
      <c r="AD69" s="65"/>
      <c r="AE69" s="65"/>
      <c r="AF69" s="51"/>
      <c r="AG69" s="51"/>
    </row>
    <row r="70" spans="1:33" ht="21" customHeight="1">
      <c r="A70" s="52" t="s">
        <v>228</v>
      </c>
      <c r="B70" s="52" t="s">
        <v>230</v>
      </c>
      <c r="C70" s="66" t="s">
        <v>628</v>
      </c>
      <c r="D70" s="127" t="s">
        <v>237</v>
      </c>
      <c r="E70" s="127" t="s">
        <v>238</v>
      </c>
      <c r="F70" s="120"/>
      <c r="G70" s="52">
        <v>2</v>
      </c>
      <c r="H70" s="65" t="s">
        <v>466</v>
      </c>
      <c r="I70" s="52" t="s">
        <v>567</v>
      </c>
      <c r="J70" s="52" t="s">
        <v>568</v>
      </c>
      <c r="K70" s="65"/>
      <c r="L70" s="65"/>
      <c r="M70" s="65" t="s">
        <v>643</v>
      </c>
      <c r="N70" s="65" t="s">
        <v>661</v>
      </c>
      <c r="O70" s="65" t="s">
        <v>661</v>
      </c>
      <c r="P70" s="65"/>
      <c r="Q70" s="65"/>
      <c r="R70" s="65"/>
      <c r="S70" s="65"/>
      <c r="T70" s="65"/>
      <c r="U70" s="51"/>
      <c r="V70" s="51"/>
      <c r="W70" s="51"/>
      <c r="X70" s="51"/>
      <c r="Y70" s="51"/>
      <c r="Z70" s="51"/>
      <c r="AA70" s="55"/>
      <c r="AB70" s="51"/>
      <c r="AC70" s="51"/>
      <c r="AD70" s="65"/>
      <c r="AE70" s="65"/>
      <c r="AF70" s="51"/>
      <c r="AG70" s="51"/>
    </row>
    <row r="71" spans="1:33" ht="21" customHeight="1">
      <c r="A71" s="52" t="s">
        <v>228</v>
      </c>
      <c r="B71" s="52" t="s">
        <v>230</v>
      </c>
      <c r="C71" s="156" t="s">
        <v>629</v>
      </c>
      <c r="D71" s="125" t="s">
        <v>239</v>
      </c>
      <c r="E71" s="125" t="s">
        <v>240</v>
      </c>
      <c r="F71" s="120"/>
      <c r="G71" s="128">
        <v>1</v>
      </c>
      <c r="H71" s="65" t="s">
        <v>477</v>
      </c>
      <c r="I71" s="65" t="s">
        <v>617</v>
      </c>
      <c r="J71" s="65" t="s">
        <v>617</v>
      </c>
      <c r="K71" s="65"/>
      <c r="L71" s="65"/>
      <c r="M71" s="49"/>
      <c r="N71" s="49"/>
      <c r="O71" s="49"/>
      <c r="P71" s="49"/>
      <c r="Q71" s="49"/>
      <c r="R71" s="49"/>
      <c r="S71" s="49"/>
      <c r="T71" s="65"/>
      <c r="U71" s="51"/>
      <c r="V71" s="51"/>
      <c r="W71" s="51"/>
      <c r="X71" s="51"/>
      <c r="Y71" s="51"/>
      <c r="Z71" s="51"/>
      <c r="AA71" s="55"/>
      <c r="AB71" s="51"/>
      <c r="AC71" s="51"/>
      <c r="AD71" s="65"/>
      <c r="AE71" s="65"/>
      <c r="AF71" s="51"/>
      <c r="AG71" s="51"/>
    </row>
    <row r="72" spans="1:33" ht="21" customHeight="1">
      <c r="A72" s="52" t="s">
        <v>228</v>
      </c>
      <c r="B72" s="52" t="s">
        <v>230</v>
      </c>
      <c r="C72" s="66" t="s">
        <v>628</v>
      </c>
      <c r="D72" s="127" t="s">
        <v>241</v>
      </c>
      <c r="E72" s="127" t="s">
        <v>242</v>
      </c>
      <c r="F72" s="120"/>
      <c r="G72" s="52">
        <v>2</v>
      </c>
      <c r="H72" s="65" t="s">
        <v>466</v>
      </c>
      <c r="I72" s="52" t="s">
        <v>569</v>
      </c>
      <c r="J72" s="52" t="s">
        <v>570</v>
      </c>
      <c r="K72" s="65"/>
      <c r="L72" s="65"/>
      <c r="M72" s="65" t="s">
        <v>631</v>
      </c>
      <c r="N72" s="65" t="s">
        <v>662</v>
      </c>
      <c r="O72" s="65" t="s">
        <v>663</v>
      </c>
      <c r="P72" s="65"/>
      <c r="Q72" s="65"/>
      <c r="R72" s="65"/>
      <c r="S72" s="65"/>
      <c r="T72" s="65"/>
      <c r="U72" s="51"/>
      <c r="V72" s="51"/>
      <c r="W72" s="51"/>
      <c r="X72" s="51"/>
      <c r="Y72" s="51"/>
      <c r="Z72" s="51"/>
      <c r="AA72" s="55"/>
      <c r="AB72" s="51"/>
      <c r="AC72" s="51"/>
      <c r="AD72" s="65"/>
      <c r="AE72" s="65"/>
      <c r="AF72" s="51"/>
      <c r="AG72" s="51"/>
    </row>
    <row r="73" spans="1:33" ht="21" customHeight="1">
      <c r="A73" s="52" t="s">
        <v>228</v>
      </c>
      <c r="B73" s="52" t="s">
        <v>243</v>
      </c>
      <c r="C73" s="156" t="s">
        <v>629</v>
      </c>
      <c r="D73" s="125" t="s">
        <v>244</v>
      </c>
      <c r="E73" s="125" t="s">
        <v>245</v>
      </c>
      <c r="F73" s="120"/>
      <c r="G73" s="113">
        <v>1</v>
      </c>
      <c r="H73" s="65" t="s">
        <v>621</v>
      </c>
      <c r="I73" s="65" t="s">
        <v>617</v>
      </c>
      <c r="J73" s="65" t="s">
        <v>617</v>
      </c>
      <c r="K73" s="65"/>
      <c r="L73" s="65"/>
      <c r="M73" s="49"/>
      <c r="N73" s="49"/>
      <c r="O73" s="49"/>
      <c r="P73" s="49"/>
      <c r="Q73" s="49"/>
      <c r="R73" s="49"/>
      <c r="S73" s="49"/>
      <c r="T73" s="65"/>
      <c r="U73" s="51"/>
      <c r="V73" s="51"/>
      <c r="W73" s="51"/>
      <c r="X73" s="51"/>
      <c r="Y73" s="51"/>
      <c r="Z73" s="51"/>
      <c r="AA73" s="55"/>
      <c r="AB73" s="51"/>
      <c r="AC73" s="51"/>
      <c r="AD73" s="65"/>
      <c r="AE73" s="65"/>
      <c r="AF73" s="51"/>
      <c r="AG73" s="51"/>
    </row>
    <row r="74" spans="1:33" ht="21" customHeight="1">
      <c r="A74" s="52" t="s">
        <v>228</v>
      </c>
      <c r="B74" s="52" t="s">
        <v>243</v>
      </c>
      <c r="C74" s="156" t="s">
        <v>629</v>
      </c>
      <c r="D74" s="125" t="s">
        <v>246</v>
      </c>
      <c r="E74" s="125" t="s">
        <v>247</v>
      </c>
      <c r="F74" s="120"/>
      <c r="G74" s="113">
        <v>1</v>
      </c>
      <c r="H74" s="65" t="s">
        <v>621</v>
      </c>
      <c r="I74" s="65" t="s">
        <v>617</v>
      </c>
      <c r="J74" s="65" t="s">
        <v>617</v>
      </c>
      <c r="K74" s="65"/>
      <c r="L74" s="65"/>
      <c r="M74" s="49"/>
      <c r="N74" s="49"/>
      <c r="O74" s="49"/>
      <c r="P74" s="49"/>
      <c r="Q74" s="49"/>
      <c r="R74" s="49"/>
      <c r="S74" s="49"/>
      <c r="T74" s="65"/>
      <c r="U74" s="51"/>
      <c r="V74" s="51"/>
      <c r="W74" s="51"/>
      <c r="X74" s="51"/>
      <c r="Y74" s="51"/>
      <c r="Z74" s="51"/>
      <c r="AA74" s="55"/>
      <c r="AB74" s="51"/>
      <c r="AC74" s="51"/>
      <c r="AD74" s="65"/>
      <c r="AE74" s="65"/>
      <c r="AF74" s="51"/>
      <c r="AG74" s="51"/>
    </row>
    <row r="75" spans="1:33" ht="21" customHeight="1">
      <c r="A75" s="52" t="s">
        <v>228</v>
      </c>
      <c r="B75" s="52" t="s">
        <v>243</v>
      </c>
      <c r="C75" s="156" t="s">
        <v>629</v>
      </c>
      <c r="D75" s="125" t="s">
        <v>248</v>
      </c>
      <c r="E75" s="125" t="s">
        <v>249</v>
      </c>
      <c r="F75" s="120"/>
      <c r="G75" s="113">
        <v>1</v>
      </c>
      <c r="H75" s="65" t="s">
        <v>621</v>
      </c>
      <c r="I75" s="65" t="s">
        <v>617</v>
      </c>
      <c r="J75" s="65" t="s">
        <v>617</v>
      </c>
      <c r="K75" s="65"/>
      <c r="L75" s="65"/>
      <c r="M75" s="49"/>
      <c r="N75" s="49"/>
      <c r="O75" s="49"/>
      <c r="P75" s="49"/>
      <c r="Q75" s="49"/>
      <c r="R75" s="49"/>
      <c r="S75" s="49"/>
      <c r="T75" s="65"/>
      <c r="U75" s="51"/>
      <c r="V75" s="51"/>
      <c r="W75" s="51"/>
      <c r="X75" s="51"/>
      <c r="Y75" s="51"/>
      <c r="Z75" s="51"/>
      <c r="AA75" s="55"/>
      <c r="AB75" s="51"/>
      <c r="AC75" s="51"/>
      <c r="AD75" s="65"/>
      <c r="AE75" s="65"/>
      <c r="AF75" s="51"/>
      <c r="AG75" s="51"/>
    </row>
    <row r="76" spans="1:33" ht="21" customHeight="1">
      <c r="A76" s="52" t="s">
        <v>228</v>
      </c>
      <c r="B76" s="52" t="s">
        <v>243</v>
      </c>
      <c r="C76" s="156" t="s">
        <v>629</v>
      </c>
      <c r="D76" s="127" t="s">
        <v>250</v>
      </c>
      <c r="E76" s="127" t="s">
        <v>59</v>
      </c>
      <c r="F76" s="120"/>
      <c r="G76" s="113">
        <v>1</v>
      </c>
      <c r="H76" s="65" t="s">
        <v>621</v>
      </c>
      <c r="I76" s="65" t="s">
        <v>617</v>
      </c>
      <c r="J76" s="65" t="s">
        <v>617</v>
      </c>
      <c r="K76" s="65"/>
      <c r="L76" s="65"/>
      <c r="M76" s="49"/>
      <c r="N76" s="49"/>
      <c r="O76" s="49"/>
      <c r="P76" s="49"/>
      <c r="Q76" s="49"/>
      <c r="R76" s="49"/>
      <c r="S76" s="49"/>
      <c r="T76" s="65"/>
      <c r="U76" s="51"/>
      <c r="V76" s="51"/>
      <c r="W76" s="51"/>
      <c r="X76" s="51"/>
      <c r="Y76" s="51"/>
      <c r="Z76" s="51"/>
      <c r="AA76" s="55"/>
      <c r="AB76" s="51"/>
      <c r="AC76" s="51"/>
      <c r="AD76" s="65"/>
      <c r="AE76" s="65"/>
      <c r="AF76" s="51"/>
      <c r="AG76" s="51"/>
    </row>
    <row r="77" spans="1:33" ht="21" customHeight="1">
      <c r="A77" s="52" t="s">
        <v>271</v>
      </c>
      <c r="B77" s="52" t="s">
        <v>272</v>
      </c>
      <c r="C77" s="66" t="s">
        <v>628</v>
      </c>
      <c r="D77" s="125" t="s">
        <v>251</v>
      </c>
      <c r="E77" s="125" t="s">
        <v>252</v>
      </c>
      <c r="F77" s="120"/>
      <c r="G77" s="52">
        <v>1</v>
      </c>
      <c r="H77" s="65" t="s">
        <v>463</v>
      </c>
      <c r="I77" s="65" t="s">
        <v>564</v>
      </c>
      <c r="J77" s="65" t="s">
        <v>571</v>
      </c>
      <c r="K77" s="65"/>
      <c r="L77" s="65"/>
      <c r="M77" s="49"/>
      <c r="N77" s="49"/>
      <c r="O77" s="49"/>
      <c r="P77" s="49"/>
      <c r="Q77" s="49"/>
      <c r="R77" s="49"/>
      <c r="S77" s="49"/>
      <c r="T77" s="65"/>
      <c r="U77" s="51"/>
      <c r="V77" s="51"/>
      <c r="W77" s="51"/>
      <c r="X77" s="51"/>
      <c r="Y77" s="51"/>
      <c r="Z77" s="51"/>
      <c r="AA77" s="55"/>
      <c r="AB77" s="51"/>
      <c r="AC77" s="51"/>
      <c r="AD77" s="65"/>
      <c r="AE77" s="65"/>
      <c r="AF77" s="51"/>
      <c r="AG77" s="51"/>
    </row>
    <row r="78" spans="1:33" ht="21" customHeight="1">
      <c r="A78" s="52" t="s">
        <v>271</v>
      </c>
      <c r="B78" s="52" t="s">
        <v>272</v>
      </c>
      <c r="C78" s="66" t="s">
        <v>628</v>
      </c>
      <c r="D78" s="125" t="s">
        <v>253</v>
      </c>
      <c r="E78" s="125" t="s">
        <v>254</v>
      </c>
      <c r="F78" s="120"/>
      <c r="G78" s="52">
        <v>2</v>
      </c>
      <c r="H78" s="65" t="s">
        <v>463</v>
      </c>
      <c r="I78" s="65" t="s">
        <v>566</v>
      </c>
      <c r="J78" s="65" t="s">
        <v>572</v>
      </c>
      <c r="K78" s="65"/>
      <c r="L78" s="65"/>
      <c r="M78" s="49"/>
      <c r="N78" s="49"/>
      <c r="O78" s="49"/>
      <c r="P78" s="49"/>
      <c r="Q78" s="49"/>
      <c r="R78" s="49"/>
      <c r="S78" s="49"/>
      <c r="T78" s="65"/>
      <c r="U78" s="51"/>
      <c r="V78" s="51"/>
      <c r="W78" s="51"/>
      <c r="X78" s="51"/>
      <c r="Y78" s="51"/>
      <c r="Z78" s="51"/>
      <c r="AA78" s="55"/>
      <c r="AB78" s="51"/>
      <c r="AC78" s="51"/>
      <c r="AD78" s="65"/>
      <c r="AE78" s="65"/>
      <c r="AF78" s="51"/>
      <c r="AG78" s="51"/>
    </row>
    <row r="79" spans="1:33" ht="21" customHeight="1">
      <c r="A79" s="52" t="s">
        <v>271</v>
      </c>
      <c r="B79" s="52" t="s">
        <v>272</v>
      </c>
      <c r="C79" s="66" t="s">
        <v>628</v>
      </c>
      <c r="D79" s="125" t="s">
        <v>255</v>
      </c>
      <c r="E79" s="125" t="s">
        <v>256</v>
      </c>
      <c r="F79" s="120"/>
      <c r="G79" s="52">
        <v>2</v>
      </c>
      <c r="H79" s="65" t="s">
        <v>463</v>
      </c>
      <c r="I79" s="65" t="s">
        <v>568</v>
      </c>
      <c r="J79" s="65" t="s">
        <v>569</v>
      </c>
      <c r="K79" s="65"/>
      <c r="L79" s="65"/>
      <c r="M79" s="49"/>
      <c r="N79" s="49"/>
      <c r="O79" s="49"/>
      <c r="P79" s="49"/>
      <c r="Q79" s="49"/>
      <c r="R79" s="49"/>
      <c r="S79" s="49"/>
      <c r="T79" s="65"/>
      <c r="U79" s="51"/>
      <c r="V79" s="51"/>
      <c r="W79" s="51"/>
      <c r="X79" s="51"/>
      <c r="Y79" s="51"/>
      <c r="Z79" s="51"/>
      <c r="AA79" s="55"/>
      <c r="AB79" s="51"/>
      <c r="AC79" s="51"/>
      <c r="AD79" s="65"/>
      <c r="AE79" s="65"/>
      <c r="AF79" s="51"/>
      <c r="AG79" s="51"/>
    </row>
    <row r="80" spans="1:33" ht="21" customHeight="1">
      <c r="A80" s="52" t="s">
        <v>271</v>
      </c>
      <c r="B80" s="52" t="s">
        <v>272</v>
      </c>
      <c r="C80" s="66" t="s">
        <v>628</v>
      </c>
      <c r="D80" s="125" t="s">
        <v>257</v>
      </c>
      <c r="E80" s="125" t="s">
        <v>258</v>
      </c>
      <c r="F80" s="120"/>
      <c r="G80" s="52">
        <v>2</v>
      </c>
      <c r="H80" s="65" t="s">
        <v>463</v>
      </c>
      <c r="I80" s="65" t="s">
        <v>573</v>
      </c>
      <c r="J80" s="65" t="s">
        <v>574</v>
      </c>
      <c r="K80" s="65"/>
      <c r="L80" s="65"/>
      <c r="M80" s="49"/>
      <c r="N80" s="49"/>
      <c r="O80" s="49"/>
      <c r="P80" s="49"/>
      <c r="Q80" s="49"/>
      <c r="R80" s="49"/>
      <c r="S80" s="49"/>
      <c r="T80" s="65"/>
      <c r="U80" s="51"/>
      <c r="V80" s="51"/>
      <c r="W80" s="51"/>
      <c r="X80" s="51"/>
      <c r="Y80" s="51"/>
      <c r="Z80" s="51"/>
      <c r="AA80" s="55"/>
      <c r="AB80" s="51"/>
      <c r="AC80" s="51"/>
      <c r="AD80" s="65"/>
      <c r="AE80" s="65"/>
      <c r="AF80" s="51"/>
      <c r="AG80" s="51"/>
    </row>
    <row r="81" spans="1:33" ht="21" customHeight="1">
      <c r="A81" s="52" t="s">
        <v>271</v>
      </c>
      <c r="B81" s="52" t="s">
        <v>272</v>
      </c>
      <c r="C81" s="156" t="s">
        <v>629</v>
      </c>
      <c r="D81" s="125" t="s">
        <v>259</v>
      </c>
      <c r="E81" s="125" t="s">
        <v>260</v>
      </c>
      <c r="F81" s="120"/>
      <c r="G81" s="113">
        <v>1</v>
      </c>
      <c r="H81" s="65" t="s">
        <v>620</v>
      </c>
      <c r="I81" s="65" t="s">
        <v>617</v>
      </c>
      <c r="J81" s="65" t="s">
        <v>617</v>
      </c>
      <c r="K81" s="65"/>
      <c r="L81" s="65"/>
      <c r="M81" s="49"/>
      <c r="N81" s="49"/>
      <c r="O81" s="49"/>
      <c r="P81" s="49"/>
      <c r="Q81" s="49"/>
      <c r="R81" s="49"/>
      <c r="S81" s="49"/>
      <c r="T81" s="65"/>
      <c r="U81" s="51"/>
      <c r="V81" s="51"/>
      <c r="W81" s="51"/>
      <c r="X81" s="51"/>
      <c r="Y81" s="51"/>
      <c r="Z81" s="51"/>
      <c r="AA81" s="55"/>
      <c r="AB81" s="51"/>
      <c r="AC81" s="51"/>
      <c r="AD81" s="65"/>
      <c r="AE81" s="65"/>
      <c r="AF81" s="51"/>
      <c r="AG81" s="51"/>
    </row>
    <row r="82" spans="1:33" ht="21" customHeight="1">
      <c r="A82" s="52" t="s">
        <v>273</v>
      </c>
      <c r="B82" s="52" t="s">
        <v>274</v>
      </c>
      <c r="C82" s="66" t="s">
        <v>628</v>
      </c>
      <c r="D82" s="125" t="s">
        <v>261</v>
      </c>
      <c r="E82" s="125" t="s">
        <v>262</v>
      </c>
      <c r="F82" s="120"/>
      <c r="G82" s="52">
        <v>1</v>
      </c>
      <c r="H82" s="65" t="s">
        <v>467</v>
      </c>
      <c r="I82" s="52" t="s">
        <v>574</v>
      </c>
      <c r="J82" s="52" t="s">
        <v>574</v>
      </c>
      <c r="K82" s="65"/>
      <c r="L82" s="65"/>
      <c r="M82" s="49"/>
      <c r="N82" s="49"/>
      <c r="O82" s="49"/>
      <c r="P82" s="49"/>
      <c r="Q82" s="49"/>
      <c r="R82" s="49"/>
      <c r="S82" s="49"/>
      <c r="T82" s="65"/>
      <c r="U82" s="51"/>
      <c r="V82" s="51"/>
      <c r="W82" s="51"/>
      <c r="X82" s="51"/>
      <c r="Y82" s="51"/>
      <c r="Z82" s="51"/>
      <c r="AA82" s="55"/>
      <c r="AB82" s="51"/>
      <c r="AC82" s="51"/>
      <c r="AD82" s="65"/>
      <c r="AE82" s="65"/>
      <c r="AF82" s="51"/>
      <c r="AG82" s="51"/>
    </row>
    <row r="83" spans="1:33" ht="21" customHeight="1">
      <c r="A83" s="52" t="s">
        <v>273</v>
      </c>
      <c r="B83" s="52" t="s">
        <v>274</v>
      </c>
      <c r="C83" s="66" t="s">
        <v>628</v>
      </c>
      <c r="D83" s="125" t="s">
        <v>263</v>
      </c>
      <c r="E83" s="125" t="s">
        <v>264</v>
      </c>
      <c r="F83" s="120"/>
      <c r="G83" s="52">
        <v>2</v>
      </c>
      <c r="H83" s="65" t="s">
        <v>467</v>
      </c>
      <c r="I83" s="52" t="s">
        <v>575</v>
      </c>
      <c r="J83" s="52" t="s">
        <v>576</v>
      </c>
      <c r="K83" s="65"/>
      <c r="L83" s="65"/>
      <c r="M83" s="49"/>
      <c r="N83" s="49"/>
      <c r="O83" s="49"/>
      <c r="P83" s="49"/>
      <c r="Q83" s="49"/>
      <c r="R83" s="49"/>
      <c r="S83" s="49"/>
      <c r="T83" s="65"/>
      <c r="U83" s="51"/>
      <c r="V83" s="51"/>
      <c r="W83" s="51"/>
      <c r="X83" s="51"/>
      <c r="Y83" s="51"/>
      <c r="Z83" s="51"/>
      <c r="AA83" s="55"/>
      <c r="AB83" s="51"/>
      <c r="AC83" s="51"/>
      <c r="AD83" s="65"/>
      <c r="AE83" s="65"/>
      <c r="AF83" s="51"/>
      <c r="AG83" s="51"/>
    </row>
    <row r="84" spans="1:33" ht="21" customHeight="1">
      <c r="A84" s="52" t="s">
        <v>273</v>
      </c>
      <c r="B84" s="52" t="s">
        <v>274</v>
      </c>
      <c r="C84" s="66" t="s">
        <v>628</v>
      </c>
      <c r="D84" s="125" t="s">
        <v>265</v>
      </c>
      <c r="E84" s="125" t="s">
        <v>266</v>
      </c>
      <c r="F84" s="120"/>
      <c r="G84" s="52">
        <v>2</v>
      </c>
      <c r="H84" s="65" t="s">
        <v>467</v>
      </c>
      <c r="I84" s="52" t="s">
        <v>577</v>
      </c>
      <c r="J84" s="52" t="s">
        <v>609</v>
      </c>
      <c r="K84" s="65"/>
      <c r="L84" s="65"/>
      <c r="M84" s="49"/>
      <c r="N84" s="49"/>
      <c r="O84" s="49"/>
      <c r="P84" s="49"/>
      <c r="Q84" s="49"/>
      <c r="R84" s="49"/>
      <c r="S84" s="49"/>
      <c r="T84" s="65"/>
      <c r="U84" s="51"/>
      <c r="V84" s="51"/>
      <c r="W84" s="51"/>
      <c r="X84" s="51"/>
      <c r="Y84" s="51"/>
      <c r="Z84" s="51"/>
      <c r="AA84" s="55"/>
      <c r="AB84" s="51"/>
      <c r="AC84" s="51"/>
      <c r="AD84" s="65"/>
      <c r="AE84" s="65"/>
      <c r="AF84" s="51"/>
      <c r="AG84" s="51"/>
    </row>
    <row r="85" spans="1:33" ht="21" customHeight="1">
      <c r="A85" s="52" t="s">
        <v>273</v>
      </c>
      <c r="B85" s="52" t="s">
        <v>274</v>
      </c>
      <c r="C85" s="66" t="s">
        <v>628</v>
      </c>
      <c r="D85" s="125" t="s">
        <v>267</v>
      </c>
      <c r="E85" s="125" t="s">
        <v>268</v>
      </c>
      <c r="F85" s="120"/>
      <c r="G85" s="52">
        <v>2</v>
      </c>
      <c r="H85" s="65" t="s">
        <v>467</v>
      </c>
      <c r="I85" s="52" t="s">
        <v>610</v>
      </c>
      <c r="J85" s="52" t="s">
        <v>580</v>
      </c>
      <c r="K85" s="65"/>
      <c r="L85" s="65"/>
      <c r="M85" s="49"/>
      <c r="N85" s="49"/>
      <c r="O85" s="49"/>
      <c r="P85" s="49"/>
      <c r="Q85" s="49"/>
      <c r="R85" s="49"/>
      <c r="S85" s="49"/>
      <c r="T85" s="65"/>
      <c r="U85" s="51"/>
      <c r="V85" s="51"/>
      <c r="W85" s="51"/>
      <c r="X85" s="51"/>
      <c r="Y85" s="51"/>
      <c r="Z85" s="51"/>
      <c r="AA85" s="55"/>
      <c r="AB85" s="51"/>
      <c r="AC85" s="51"/>
      <c r="AD85" s="65"/>
      <c r="AE85" s="65"/>
      <c r="AF85" s="51"/>
      <c r="AG85" s="51"/>
    </row>
    <row r="86" spans="1:33" ht="21" customHeight="1">
      <c r="A86" s="52" t="s">
        <v>273</v>
      </c>
      <c r="B86" s="52" t="s">
        <v>274</v>
      </c>
      <c r="C86" s="156" t="s">
        <v>629</v>
      </c>
      <c r="D86" s="127" t="s">
        <v>269</v>
      </c>
      <c r="E86" s="127" t="s">
        <v>270</v>
      </c>
      <c r="F86" s="120"/>
      <c r="G86" s="113">
        <v>1</v>
      </c>
      <c r="H86" s="65" t="s">
        <v>621</v>
      </c>
      <c r="I86" s="65" t="s">
        <v>617</v>
      </c>
      <c r="J86" s="65" t="s">
        <v>617</v>
      </c>
      <c r="K86" s="65"/>
      <c r="L86" s="65"/>
      <c r="M86" s="49"/>
      <c r="N86" s="49"/>
      <c r="O86" s="49"/>
      <c r="P86" s="49"/>
      <c r="Q86" s="49"/>
      <c r="R86" s="49"/>
      <c r="S86" s="49"/>
      <c r="T86" s="65"/>
      <c r="U86" s="51"/>
      <c r="V86" s="51"/>
      <c r="W86" s="51"/>
      <c r="X86" s="51"/>
      <c r="Y86" s="51"/>
      <c r="Z86" s="51"/>
      <c r="AA86" s="55"/>
      <c r="AB86" s="51"/>
      <c r="AC86" s="51"/>
      <c r="AD86" s="65"/>
      <c r="AE86" s="65"/>
      <c r="AF86" s="51"/>
      <c r="AG86" s="51"/>
    </row>
    <row r="87" spans="1:33" ht="21" customHeight="1">
      <c r="A87" s="52" t="s">
        <v>310</v>
      </c>
      <c r="B87" s="52" t="s">
        <v>311</v>
      </c>
      <c r="C87" s="66" t="s">
        <v>628</v>
      </c>
      <c r="D87" s="125" t="s">
        <v>275</v>
      </c>
      <c r="E87" s="125" t="s">
        <v>276</v>
      </c>
      <c r="F87" s="120"/>
      <c r="G87" s="52">
        <v>1</v>
      </c>
      <c r="H87" s="65" t="s">
        <v>463</v>
      </c>
      <c r="I87" s="65" t="s">
        <v>575</v>
      </c>
      <c r="J87" s="65" t="s">
        <v>575</v>
      </c>
      <c r="K87" s="65"/>
      <c r="L87" s="65"/>
      <c r="M87" s="49"/>
      <c r="N87" s="49"/>
      <c r="O87" s="49"/>
      <c r="P87" s="49"/>
      <c r="Q87" s="49"/>
      <c r="R87" s="49"/>
      <c r="S87" s="49"/>
      <c r="T87" s="65"/>
      <c r="U87" s="51"/>
      <c r="V87" s="51"/>
      <c r="W87" s="51"/>
      <c r="X87" s="51"/>
      <c r="Y87" s="51"/>
      <c r="Z87" s="51"/>
      <c r="AA87" s="55"/>
      <c r="AB87" s="51"/>
      <c r="AC87" s="51"/>
      <c r="AD87" s="65"/>
      <c r="AE87" s="65"/>
      <c r="AF87" s="51"/>
      <c r="AG87" s="51"/>
    </row>
    <row r="88" spans="1:33" ht="21" customHeight="1">
      <c r="A88" s="52" t="s">
        <v>310</v>
      </c>
      <c r="B88" s="52" t="s">
        <v>311</v>
      </c>
      <c r="C88" s="66" t="s">
        <v>628</v>
      </c>
      <c r="D88" s="125" t="s">
        <v>277</v>
      </c>
      <c r="E88" s="125" t="s">
        <v>278</v>
      </c>
      <c r="F88" s="120"/>
      <c r="G88" s="52">
        <v>2</v>
      </c>
      <c r="H88" s="65" t="s">
        <v>463</v>
      </c>
      <c r="I88" s="65" t="s">
        <v>576</v>
      </c>
      <c r="J88" s="65" t="s">
        <v>577</v>
      </c>
      <c r="K88" s="65"/>
      <c r="L88" s="65"/>
      <c r="M88" s="49"/>
      <c r="N88" s="49"/>
      <c r="O88" s="49"/>
      <c r="P88" s="49"/>
      <c r="Q88" s="49"/>
      <c r="R88" s="49"/>
      <c r="S88" s="49"/>
      <c r="T88" s="65"/>
      <c r="U88" s="51"/>
      <c r="V88" s="51"/>
      <c r="W88" s="51"/>
      <c r="X88" s="51"/>
      <c r="Y88" s="51"/>
      <c r="Z88" s="51"/>
      <c r="AA88" s="55"/>
      <c r="AB88" s="51"/>
      <c r="AC88" s="51"/>
      <c r="AD88" s="65"/>
      <c r="AE88" s="65"/>
      <c r="AF88" s="51"/>
      <c r="AG88" s="51"/>
    </row>
    <row r="89" spans="1:33" ht="21" customHeight="1">
      <c r="A89" s="52" t="s">
        <v>310</v>
      </c>
      <c r="B89" s="52" t="s">
        <v>311</v>
      </c>
      <c r="C89" s="66" t="s">
        <v>628</v>
      </c>
      <c r="D89" s="125" t="s">
        <v>277</v>
      </c>
      <c r="E89" s="125" t="s">
        <v>279</v>
      </c>
      <c r="F89" s="120"/>
      <c r="G89" s="52">
        <v>2</v>
      </c>
      <c r="H89" s="65" t="s">
        <v>463</v>
      </c>
      <c r="I89" s="65" t="s">
        <v>578</v>
      </c>
      <c r="J89" s="65" t="s">
        <v>579</v>
      </c>
      <c r="K89" s="65"/>
      <c r="L89" s="65"/>
      <c r="M89" s="49"/>
      <c r="N89" s="49"/>
      <c r="O89" s="49"/>
      <c r="P89" s="49"/>
      <c r="Q89" s="49"/>
      <c r="R89" s="49"/>
      <c r="S89" s="49"/>
      <c r="T89" s="65"/>
      <c r="U89" s="51"/>
      <c r="V89" s="51"/>
      <c r="W89" s="51"/>
      <c r="X89" s="51"/>
      <c r="Y89" s="51"/>
      <c r="Z89" s="51"/>
      <c r="AA89" s="55"/>
      <c r="AB89" s="51"/>
      <c r="AC89" s="51"/>
      <c r="AD89" s="65"/>
      <c r="AE89" s="65"/>
      <c r="AF89" s="51"/>
      <c r="AG89" s="51"/>
    </row>
    <row r="90" spans="1:33" ht="21" customHeight="1">
      <c r="A90" s="52" t="s">
        <v>310</v>
      </c>
      <c r="B90" s="52" t="s">
        <v>311</v>
      </c>
      <c r="C90" s="156" t="s">
        <v>629</v>
      </c>
      <c r="D90" s="125" t="s">
        <v>280</v>
      </c>
      <c r="E90" s="125" t="s">
        <v>281</v>
      </c>
      <c r="F90" s="120"/>
      <c r="G90" s="128">
        <v>1</v>
      </c>
      <c r="H90" s="65" t="s">
        <v>476</v>
      </c>
      <c r="I90" s="65" t="s">
        <v>617</v>
      </c>
      <c r="J90" s="65" t="s">
        <v>617</v>
      </c>
      <c r="K90" s="65"/>
      <c r="L90" s="65"/>
      <c r="M90" s="49"/>
      <c r="N90" s="49"/>
      <c r="O90" s="49"/>
      <c r="P90" s="49"/>
      <c r="Q90" s="49"/>
      <c r="R90" s="49"/>
      <c r="S90" s="49"/>
      <c r="T90" s="65"/>
      <c r="U90" s="51"/>
      <c r="V90" s="51"/>
      <c r="W90" s="51"/>
      <c r="X90" s="51"/>
      <c r="Y90" s="51"/>
      <c r="Z90" s="51"/>
      <c r="AA90" s="55"/>
      <c r="AB90" s="51"/>
      <c r="AC90" s="51"/>
      <c r="AD90" s="65"/>
      <c r="AE90" s="65"/>
      <c r="AF90" s="51"/>
      <c r="AG90" s="51"/>
    </row>
    <row r="91" spans="1:33" ht="21" customHeight="1">
      <c r="A91" s="52" t="s">
        <v>310</v>
      </c>
      <c r="B91" s="52" t="s">
        <v>311</v>
      </c>
      <c r="C91" s="66" t="s">
        <v>628</v>
      </c>
      <c r="D91" s="125" t="s">
        <v>282</v>
      </c>
      <c r="E91" s="125" t="s">
        <v>283</v>
      </c>
      <c r="F91" s="120"/>
      <c r="G91" s="52">
        <v>1</v>
      </c>
      <c r="H91" s="65" t="s">
        <v>463</v>
      </c>
      <c r="I91" s="65" t="s">
        <v>580</v>
      </c>
      <c r="J91" s="65" t="s">
        <v>580</v>
      </c>
      <c r="K91" s="65"/>
      <c r="L91" s="65"/>
      <c r="M91" s="49"/>
      <c r="N91" s="49"/>
      <c r="O91" s="49"/>
      <c r="P91" s="49"/>
      <c r="Q91" s="49"/>
      <c r="R91" s="49"/>
      <c r="S91" s="49"/>
      <c r="T91" s="65"/>
      <c r="U91" s="51"/>
      <c r="V91" s="51"/>
      <c r="W91" s="51"/>
      <c r="X91" s="51"/>
      <c r="Y91" s="51"/>
      <c r="Z91" s="51"/>
      <c r="AA91" s="55"/>
      <c r="AB91" s="51"/>
      <c r="AC91" s="51"/>
      <c r="AD91" s="65"/>
      <c r="AE91" s="65"/>
      <c r="AF91" s="51"/>
      <c r="AG91" s="51"/>
    </row>
    <row r="92" spans="1:33" ht="21" customHeight="1">
      <c r="A92" s="52" t="s">
        <v>310</v>
      </c>
      <c r="B92" s="52" t="s">
        <v>311</v>
      </c>
      <c r="C92" s="66" t="s">
        <v>628</v>
      </c>
      <c r="D92" s="125" t="s">
        <v>284</v>
      </c>
      <c r="E92" s="125" t="s">
        <v>285</v>
      </c>
      <c r="F92" s="120"/>
      <c r="G92" s="52">
        <v>2</v>
      </c>
      <c r="H92" s="65" t="s">
        <v>463</v>
      </c>
      <c r="I92" s="65" t="s">
        <v>581</v>
      </c>
      <c r="J92" s="65" t="s">
        <v>582</v>
      </c>
      <c r="K92" s="65"/>
      <c r="L92" s="65"/>
      <c r="M92" s="49"/>
      <c r="N92" s="49"/>
      <c r="O92" s="49"/>
      <c r="P92" s="49"/>
      <c r="Q92" s="49"/>
      <c r="R92" s="49"/>
      <c r="S92" s="49"/>
      <c r="T92" s="65"/>
      <c r="U92" s="51"/>
      <c r="V92" s="51"/>
      <c r="W92" s="51"/>
      <c r="X92" s="51"/>
      <c r="Y92" s="51"/>
      <c r="Z92" s="51"/>
      <c r="AA92" s="55"/>
      <c r="AB92" s="51"/>
      <c r="AC92" s="51"/>
      <c r="AD92" s="65"/>
      <c r="AE92" s="65"/>
      <c r="AF92" s="51"/>
      <c r="AG92" s="51"/>
    </row>
    <row r="93" spans="1:33" ht="21" customHeight="1">
      <c r="A93" s="52" t="s">
        <v>310</v>
      </c>
      <c r="B93" s="52" t="s">
        <v>311</v>
      </c>
      <c r="C93" s="66" t="s">
        <v>628</v>
      </c>
      <c r="D93" s="125" t="s">
        <v>286</v>
      </c>
      <c r="E93" s="125" t="s">
        <v>287</v>
      </c>
      <c r="F93" s="120"/>
      <c r="G93" s="52">
        <v>1</v>
      </c>
      <c r="H93" s="65" t="s">
        <v>463</v>
      </c>
      <c r="I93" s="65" t="s">
        <v>583</v>
      </c>
      <c r="J93" s="65" t="s">
        <v>583</v>
      </c>
      <c r="K93" s="65"/>
      <c r="L93" s="65"/>
      <c r="M93" s="49"/>
      <c r="N93" s="49"/>
      <c r="O93" s="49"/>
      <c r="P93" s="49"/>
      <c r="Q93" s="49"/>
      <c r="R93" s="49"/>
      <c r="S93" s="49"/>
      <c r="T93" s="65"/>
      <c r="U93" s="51"/>
      <c r="V93" s="51"/>
      <c r="W93" s="51"/>
      <c r="X93" s="51"/>
      <c r="Y93" s="51"/>
      <c r="Z93" s="51"/>
      <c r="AA93" s="55"/>
      <c r="AB93" s="51"/>
      <c r="AC93" s="51"/>
      <c r="AD93" s="65"/>
      <c r="AE93" s="65"/>
      <c r="AF93" s="51"/>
      <c r="AG93" s="51"/>
    </row>
    <row r="94" spans="1:33" ht="21" customHeight="1">
      <c r="A94" s="52" t="s">
        <v>310</v>
      </c>
      <c r="B94" s="52" t="s">
        <v>311</v>
      </c>
      <c r="C94" s="66" t="s">
        <v>628</v>
      </c>
      <c r="D94" s="125" t="s">
        <v>288</v>
      </c>
      <c r="E94" s="125" t="s">
        <v>289</v>
      </c>
      <c r="F94" s="120"/>
      <c r="G94" s="52">
        <v>1</v>
      </c>
      <c r="H94" s="65" t="s">
        <v>463</v>
      </c>
      <c r="I94" s="65" t="s">
        <v>584</v>
      </c>
      <c r="J94" s="65" t="s">
        <v>584</v>
      </c>
      <c r="K94" s="65"/>
      <c r="L94" s="65"/>
      <c r="M94" s="49"/>
      <c r="N94" s="49"/>
      <c r="O94" s="49"/>
      <c r="P94" s="49"/>
      <c r="Q94" s="49"/>
      <c r="R94" s="49"/>
      <c r="S94" s="49"/>
      <c r="T94" s="65"/>
      <c r="U94" s="51"/>
      <c r="V94" s="51"/>
      <c r="W94" s="51"/>
      <c r="X94" s="51"/>
      <c r="Y94" s="51"/>
      <c r="Z94" s="51"/>
      <c r="AA94" s="55"/>
      <c r="AB94" s="51"/>
      <c r="AC94" s="51"/>
      <c r="AD94" s="65"/>
      <c r="AE94" s="65"/>
      <c r="AF94" s="51"/>
      <c r="AG94" s="51"/>
    </row>
    <row r="95" spans="1:33" ht="21" customHeight="1">
      <c r="A95" s="52" t="s">
        <v>310</v>
      </c>
      <c r="B95" s="52" t="s">
        <v>311</v>
      </c>
      <c r="C95" s="156" t="s">
        <v>629</v>
      </c>
      <c r="D95" s="125" t="s">
        <v>290</v>
      </c>
      <c r="E95" s="125" t="s">
        <v>291</v>
      </c>
      <c r="F95" s="120"/>
      <c r="G95" s="128">
        <v>1</v>
      </c>
      <c r="H95" s="65" t="s">
        <v>476</v>
      </c>
      <c r="I95" s="65" t="s">
        <v>617</v>
      </c>
      <c r="J95" s="65" t="s">
        <v>617</v>
      </c>
      <c r="K95" s="65"/>
      <c r="L95" s="65"/>
      <c r="M95" s="49"/>
      <c r="N95" s="49"/>
      <c r="O95" s="49"/>
      <c r="P95" s="49"/>
      <c r="Q95" s="49"/>
      <c r="R95" s="49"/>
      <c r="S95" s="49"/>
      <c r="T95" s="65"/>
      <c r="U95" s="51"/>
      <c r="V95" s="51"/>
      <c r="W95" s="51"/>
      <c r="X95" s="51"/>
      <c r="Y95" s="51"/>
      <c r="Z95" s="51"/>
      <c r="AA95" s="55"/>
      <c r="AB95" s="51"/>
      <c r="AC95" s="51"/>
      <c r="AD95" s="65"/>
      <c r="AE95" s="65"/>
      <c r="AF95" s="51"/>
      <c r="AG95" s="51"/>
    </row>
    <row r="96" spans="1:33" ht="21" customHeight="1">
      <c r="A96" s="52" t="s">
        <v>310</v>
      </c>
      <c r="B96" s="52" t="s">
        <v>311</v>
      </c>
      <c r="C96" s="66" t="s">
        <v>628</v>
      </c>
      <c r="D96" s="125" t="s">
        <v>292</v>
      </c>
      <c r="E96" s="125" t="s">
        <v>293</v>
      </c>
      <c r="F96" s="120"/>
      <c r="G96" s="52">
        <v>1</v>
      </c>
      <c r="H96" s="65" t="s">
        <v>463</v>
      </c>
      <c r="I96" s="65" t="s">
        <v>586</v>
      </c>
      <c r="J96" s="65" t="s">
        <v>585</v>
      </c>
      <c r="K96" s="65"/>
      <c r="L96" s="65"/>
      <c r="M96" s="49"/>
      <c r="N96" s="49"/>
      <c r="O96" s="49"/>
      <c r="P96" s="49"/>
      <c r="Q96" s="49"/>
      <c r="R96" s="49"/>
      <c r="S96" s="49"/>
      <c r="T96" s="65"/>
      <c r="U96" s="51"/>
      <c r="V96" s="51"/>
      <c r="W96" s="51"/>
      <c r="X96" s="51"/>
      <c r="Y96" s="51"/>
      <c r="Z96" s="51"/>
      <c r="AA96" s="55"/>
      <c r="AB96" s="51"/>
      <c r="AC96" s="51"/>
      <c r="AD96" s="65"/>
      <c r="AE96" s="65"/>
      <c r="AF96" s="51"/>
      <c r="AG96" s="51"/>
    </row>
    <row r="97" spans="1:33" ht="21" customHeight="1">
      <c r="A97" s="52" t="s">
        <v>310</v>
      </c>
      <c r="B97" s="52" t="s">
        <v>311</v>
      </c>
      <c r="C97" s="66" t="s">
        <v>628</v>
      </c>
      <c r="D97" s="125" t="s">
        <v>294</v>
      </c>
      <c r="E97" s="125" t="s">
        <v>295</v>
      </c>
      <c r="F97" s="120"/>
      <c r="G97" s="52">
        <v>1</v>
      </c>
      <c r="H97" s="65" t="s">
        <v>463</v>
      </c>
      <c r="I97" s="65" t="s">
        <v>587</v>
      </c>
      <c r="J97" s="65" t="s">
        <v>587</v>
      </c>
      <c r="K97" s="65"/>
      <c r="L97" s="65"/>
      <c r="M97" s="49"/>
      <c r="N97" s="49"/>
      <c r="O97" s="49"/>
      <c r="P97" s="49"/>
      <c r="Q97" s="49"/>
      <c r="R97" s="49"/>
      <c r="S97" s="49"/>
      <c r="T97" s="65"/>
      <c r="U97" s="51"/>
      <c r="V97" s="51"/>
      <c r="W97" s="51"/>
      <c r="X97" s="51"/>
      <c r="Y97" s="51"/>
      <c r="Z97" s="51"/>
      <c r="AA97" s="55"/>
      <c r="AB97" s="51"/>
      <c r="AC97" s="51"/>
      <c r="AD97" s="65"/>
      <c r="AE97" s="65"/>
      <c r="AF97" s="51"/>
      <c r="AG97" s="51"/>
    </row>
    <row r="98" spans="1:33" ht="21" customHeight="1">
      <c r="A98" s="52" t="s">
        <v>310</v>
      </c>
      <c r="B98" s="52" t="s">
        <v>311</v>
      </c>
      <c r="C98" s="156" t="s">
        <v>629</v>
      </c>
      <c r="D98" s="125" t="s">
        <v>296</v>
      </c>
      <c r="E98" s="125" t="s">
        <v>297</v>
      </c>
      <c r="F98" s="120"/>
      <c r="G98" s="128">
        <v>1</v>
      </c>
      <c r="H98" s="65" t="s">
        <v>476</v>
      </c>
      <c r="I98" s="65" t="s">
        <v>617</v>
      </c>
      <c r="J98" s="65" t="s">
        <v>617</v>
      </c>
      <c r="K98" s="65"/>
      <c r="L98" s="65"/>
      <c r="M98" s="49"/>
      <c r="N98" s="49"/>
      <c r="O98" s="49"/>
      <c r="P98" s="49"/>
      <c r="Q98" s="49"/>
      <c r="R98" s="49"/>
      <c r="S98" s="49"/>
      <c r="T98" s="65"/>
      <c r="U98" s="51"/>
      <c r="V98" s="51"/>
      <c r="W98" s="51"/>
      <c r="X98" s="51"/>
      <c r="Y98" s="51"/>
      <c r="Z98" s="51"/>
      <c r="AA98" s="55"/>
      <c r="AB98" s="51"/>
      <c r="AC98" s="51"/>
      <c r="AD98" s="65"/>
      <c r="AE98" s="65"/>
      <c r="AF98" s="51"/>
      <c r="AG98" s="51"/>
    </row>
    <row r="99" spans="1:33" ht="21" customHeight="1">
      <c r="A99" s="52" t="s">
        <v>310</v>
      </c>
      <c r="B99" s="52" t="s">
        <v>311</v>
      </c>
      <c r="C99" s="66" t="s">
        <v>628</v>
      </c>
      <c r="D99" s="125" t="s">
        <v>298</v>
      </c>
      <c r="E99" s="125" t="s">
        <v>299</v>
      </c>
      <c r="F99" s="120"/>
      <c r="G99" s="52">
        <v>1</v>
      </c>
      <c r="H99" s="65" t="s">
        <v>463</v>
      </c>
      <c r="I99" s="65" t="s">
        <v>588</v>
      </c>
      <c r="J99" s="65" t="s">
        <v>588</v>
      </c>
      <c r="K99" s="65"/>
      <c r="L99" s="65"/>
      <c r="M99" s="49"/>
      <c r="N99" s="49"/>
      <c r="O99" s="49"/>
      <c r="P99" s="49"/>
      <c r="Q99" s="49"/>
      <c r="R99" s="49"/>
      <c r="S99" s="49"/>
      <c r="T99" s="65"/>
      <c r="U99" s="51"/>
      <c r="V99" s="51"/>
      <c r="W99" s="51"/>
      <c r="X99" s="51"/>
      <c r="Y99" s="51"/>
      <c r="Z99" s="51"/>
      <c r="AA99" s="55"/>
      <c r="AB99" s="51"/>
      <c r="AC99" s="51"/>
      <c r="AD99" s="65"/>
      <c r="AE99" s="65"/>
      <c r="AF99" s="51"/>
      <c r="AG99" s="51"/>
    </row>
    <row r="100" spans="1:33" ht="21" customHeight="1">
      <c r="A100" s="52" t="s">
        <v>310</v>
      </c>
      <c r="B100" s="52" t="s">
        <v>311</v>
      </c>
      <c r="C100" s="66" t="s">
        <v>628</v>
      </c>
      <c r="D100" s="125" t="s">
        <v>300</v>
      </c>
      <c r="E100" s="125" t="s">
        <v>301</v>
      </c>
      <c r="F100" s="120"/>
      <c r="G100" s="52">
        <v>1</v>
      </c>
      <c r="H100" s="65" t="s">
        <v>463</v>
      </c>
      <c r="I100" s="65" t="s">
        <v>590</v>
      </c>
      <c r="J100" s="65" t="s">
        <v>589</v>
      </c>
      <c r="K100" s="65"/>
      <c r="L100" s="65"/>
      <c r="M100" s="49"/>
      <c r="N100" s="49"/>
      <c r="O100" s="49"/>
      <c r="P100" s="49"/>
      <c r="Q100" s="49"/>
      <c r="R100" s="49"/>
      <c r="S100" s="49"/>
      <c r="T100" s="65"/>
      <c r="U100" s="51"/>
      <c r="V100" s="51"/>
      <c r="W100" s="51"/>
      <c r="X100" s="51"/>
      <c r="Y100" s="51"/>
      <c r="Z100" s="51"/>
      <c r="AA100" s="55"/>
      <c r="AB100" s="51"/>
      <c r="AC100" s="51"/>
      <c r="AD100" s="65"/>
      <c r="AE100" s="65"/>
      <c r="AF100" s="51"/>
      <c r="AG100" s="51"/>
    </row>
    <row r="101" spans="1:33" ht="21" customHeight="1">
      <c r="A101" s="52" t="s">
        <v>310</v>
      </c>
      <c r="B101" s="52" t="s">
        <v>311</v>
      </c>
      <c r="C101" s="156" t="s">
        <v>629</v>
      </c>
      <c r="D101" s="125" t="s">
        <v>302</v>
      </c>
      <c r="E101" s="125" t="s">
        <v>303</v>
      </c>
      <c r="F101" s="120"/>
      <c r="G101" s="128">
        <v>1</v>
      </c>
      <c r="H101" s="65" t="s">
        <v>476</v>
      </c>
      <c r="I101" s="65" t="s">
        <v>617</v>
      </c>
      <c r="J101" s="65" t="s">
        <v>617</v>
      </c>
      <c r="K101" s="65"/>
      <c r="L101" s="65"/>
      <c r="M101" s="49"/>
      <c r="N101" s="49"/>
      <c r="O101" s="49"/>
      <c r="P101" s="49"/>
      <c r="Q101" s="49"/>
      <c r="R101" s="49"/>
      <c r="S101" s="49"/>
      <c r="T101" s="65"/>
      <c r="U101" s="51"/>
      <c r="V101" s="51"/>
      <c r="W101" s="51"/>
      <c r="X101" s="51"/>
      <c r="Y101" s="51"/>
      <c r="Z101" s="51"/>
      <c r="AA101" s="55"/>
      <c r="AB101" s="51"/>
      <c r="AC101" s="51"/>
      <c r="AD101" s="65"/>
      <c r="AE101" s="65"/>
      <c r="AF101" s="51"/>
      <c r="AG101" s="51"/>
    </row>
    <row r="102" spans="1:33" ht="21" customHeight="1">
      <c r="A102" s="52" t="s">
        <v>310</v>
      </c>
      <c r="B102" s="52" t="s">
        <v>311</v>
      </c>
      <c r="C102" s="66" t="s">
        <v>628</v>
      </c>
      <c r="D102" s="125" t="s">
        <v>455</v>
      </c>
      <c r="E102" s="125" t="s">
        <v>457</v>
      </c>
      <c r="F102" s="120"/>
      <c r="G102" s="52">
        <v>1</v>
      </c>
      <c r="H102" s="65" t="s">
        <v>463</v>
      </c>
      <c r="I102" s="65" t="s">
        <v>591</v>
      </c>
      <c r="J102" s="65" t="s">
        <v>591</v>
      </c>
      <c r="K102" s="65"/>
      <c r="L102" s="65"/>
      <c r="M102" s="49"/>
      <c r="N102" s="49"/>
      <c r="O102" s="49"/>
      <c r="P102" s="49"/>
      <c r="Q102" s="49"/>
      <c r="R102" s="49"/>
      <c r="S102" s="49"/>
      <c r="T102" s="65"/>
      <c r="U102" s="51"/>
      <c r="V102" s="51"/>
      <c r="W102" s="51"/>
      <c r="X102" s="51"/>
      <c r="Y102" s="51"/>
      <c r="Z102" s="51"/>
      <c r="AA102" s="55"/>
      <c r="AB102" s="51"/>
      <c r="AC102" s="51"/>
      <c r="AD102" s="65"/>
      <c r="AE102" s="65"/>
      <c r="AF102" s="51"/>
      <c r="AG102" s="51"/>
    </row>
    <row r="103" spans="1:33" ht="21" customHeight="1">
      <c r="A103" s="52" t="s">
        <v>310</v>
      </c>
      <c r="B103" s="52" t="s">
        <v>311</v>
      </c>
      <c r="C103" s="66" t="s">
        <v>628</v>
      </c>
      <c r="D103" s="125" t="s">
        <v>456</v>
      </c>
      <c r="E103" s="125" t="s">
        <v>458</v>
      </c>
      <c r="F103" s="120"/>
      <c r="G103" s="52">
        <v>1</v>
      </c>
      <c r="H103" s="65" t="s">
        <v>463</v>
      </c>
      <c r="I103" s="65" t="s">
        <v>592</v>
      </c>
      <c r="J103" s="65" t="s">
        <v>592</v>
      </c>
      <c r="K103" s="65"/>
      <c r="L103" s="65"/>
      <c r="M103" s="49"/>
      <c r="N103" s="49"/>
      <c r="O103" s="49"/>
      <c r="P103" s="49"/>
      <c r="Q103" s="49"/>
      <c r="R103" s="49"/>
      <c r="S103" s="49"/>
      <c r="T103" s="65"/>
      <c r="U103" s="51"/>
      <c r="V103" s="51"/>
      <c r="W103" s="51"/>
      <c r="X103" s="51"/>
      <c r="Y103" s="51"/>
      <c r="Z103" s="51"/>
      <c r="AA103" s="55"/>
      <c r="AB103" s="51"/>
      <c r="AC103" s="51"/>
      <c r="AD103" s="65"/>
      <c r="AE103" s="65"/>
      <c r="AF103" s="51"/>
      <c r="AG103" s="51"/>
    </row>
    <row r="104" spans="1:33" ht="21" customHeight="1">
      <c r="A104" s="52" t="s">
        <v>310</v>
      </c>
      <c r="B104" s="52" t="s">
        <v>311</v>
      </c>
      <c r="C104" s="66" t="s">
        <v>628</v>
      </c>
      <c r="D104" s="125" t="s">
        <v>304</v>
      </c>
      <c r="E104" s="125" t="s">
        <v>305</v>
      </c>
      <c r="F104" s="120"/>
      <c r="G104" s="52">
        <v>1</v>
      </c>
      <c r="H104" s="65" t="s">
        <v>463</v>
      </c>
      <c r="I104" s="65" t="s">
        <v>593</v>
      </c>
      <c r="J104" s="65" t="s">
        <v>593</v>
      </c>
      <c r="K104" s="65"/>
      <c r="L104" s="65"/>
      <c r="M104" s="49"/>
      <c r="N104" s="49"/>
      <c r="O104" s="49"/>
      <c r="P104" s="49"/>
      <c r="Q104" s="49"/>
      <c r="R104" s="49"/>
      <c r="S104" s="49"/>
      <c r="T104" s="65"/>
      <c r="U104" s="51"/>
      <c r="V104" s="51"/>
      <c r="W104" s="51"/>
      <c r="X104" s="51"/>
      <c r="Y104" s="51"/>
      <c r="Z104" s="51"/>
      <c r="AA104" s="55"/>
      <c r="AB104" s="51"/>
      <c r="AC104" s="51"/>
      <c r="AD104" s="65"/>
      <c r="AE104" s="65"/>
      <c r="AF104" s="51"/>
      <c r="AG104" s="51"/>
    </row>
    <row r="105" spans="1:33" ht="21" customHeight="1">
      <c r="A105" s="52" t="s">
        <v>310</v>
      </c>
      <c r="B105" s="52" t="s">
        <v>311</v>
      </c>
      <c r="C105" s="66" t="s">
        <v>628</v>
      </c>
      <c r="D105" s="125" t="s">
        <v>306</v>
      </c>
      <c r="E105" s="125" t="s">
        <v>307</v>
      </c>
      <c r="F105" s="120"/>
      <c r="G105" s="52">
        <v>1</v>
      </c>
      <c r="H105" s="65" t="s">
        <v>463</v>
      </c>
      <c r="I105" s="65" t="s">
        <v>594</v>
      </c>
      <c r="J105" s="65" t="s">
        <v>594</v>
      </c>
      <c r="K105" s="65"/>
      <c r="L105" s="65"/>
      <c r="M105" s="49"/>
      <c r="N105" s="49"/>
      <c r="O105" s="49"/>
      <c r="P105" s="49"/>
      <c r="Q105" s="49"/>
      <c r="R105" s="49"/>
      <c r="S105" s="49"/>
      <c r="T105" s="65"/>
      <c r="U105" s="51"/>
      <c r="V105" s="51"/>
      <c r="W105" s="51"/>
      <c r="X105" s="51"/>
      <c r="Y105" s="51"/>
      <c r="Z105" s="51"/>
      <c r="AA105" s="55"/>
      <c r="AB105" s="51"/>
      <c r="AC105" s="51"/>
      <c r="AD105" s="65"/>
      <c r="AE105" s="65"/>
      <c r="AF105" s="51"/>
      <c r="AG105" s="51"/>
    </row>
    <row r="106" spans="1:33" ht="21" customHeight="1">
      <c r="A106" s="52" t="s">
        <v>310</v>
      </c>
      <c r="B106" s="52" t="s">
        <v>311</v>
      </c>
      <c r="C106" s="66" t="s">
        <v>628</v>
      </c>
      <c r="D106" s="127" t="s">
        <v>308</v>
      </c>
      <c r="E106" s="127" t="s">
        <v>309</v>
      </c>
      <c r="F106" s="120"/>
      <c r="G106" s="52">
        <v>1</v>
      </c>
      <c r="H106" s="65" t="s">
        <v>463</v>
      </c>
      <c r="I106" s="65" t="s">
        <v>595</v>
      </c>
      <c r="J106" s="65" t="s">
        <v>595</v>
      </c>
      <c r="K106" s="65"/>
      <c r="L106" s="65"/>
      <c r="M106" s="49"/>
      <c r="N106" s="49"/>
      <c r="O106" s="49"/>
      <c r="P106" s="49"/>
      <c r="Q106" s="49"/>
      <c r="R106" s="49"/>
      <c r="S106" s="49"/>
      <c r="T106" s="65"/>
      <c r="U106" s="51"/>
      <c r="V106" s="51"/>
      <c r="W106" s="51"/>
      <c r="X106" s="51"/>
      <c r="Y106" s="51"/>
      <c r="Z106" s="51"/>
      <c r="AA106" s="55"/>
      <c r="AB106" s="51"/>
      <c r="AC106" s="51"/>
      <c r="AD106" s="65"/>
      <c r="AE106" s="65"/>
      <c r="AF106" s="51"/>
      <c r="AG106" s="51"/>
    </row>
    <row r="107" spans="1:33" ht="21" customHeight="1">
      <c r="A107" s="52" t="s">
        <v>310</v>
      </c>
      <c r="B107" s="52" t="s">
        <v>311</v>
      </c>
      <c r="C107" s="66" t="s">
        <v>628</v>
      </c>
      <c r="D107" s="125" t="s">
        <v>312</v>
      </c>
      <c r="E107" s="125" t="s">
        <v>313</v>
      </c>
      <c r="F107" s="120"/>
      <c r="G107" s="52">
        <v>1</v>
      </c>
      <c r="H107" s="65" t="s">
        <v>463</v>
      </c>
      <c r="I107" s="65" t="s">
        <v>596</v>
      </c>
      <c r="J107" s="65" t="s">
        <v>596</v>
      </c>
      <c r="K107" s="65"/>
      <c r="L107" s="65"/>
      <c r="M107" s="49"/>
      <c r="N107" s="49"/>
      <c r="O107" s="49"/>
      <c r="P107" s="49"/>
      <c r="Q107" s="49"/>
      <c r="R107" s="49"/>
      <c r="S107" s="49"/>
      <c r="T107" s="65"/>
      <c r="U107" s="51"/>
      <c r="V107" s="51"/>
      <c r="W107" s="51"/>
      <c r="X107" s="51"/>
      <c r="Y107" s="51"/>
      <c r="Z107" s="51"/>
      <c r="AA107" s="55"/>
      <c r="AB107" s="51"/>
      <c r="AC107" s="51"/>
      <c r="AD107" s="65"/>
      <c r="AE107" s="65"/>
      <c r="AF107" s="51"/>
      <c r="AG107" s="51"/>
    </row>
    <row r="108" spans="1:33" ht="21" customHeight="1">
      <c r="A108" s="52" t="s">
        <v>310</v>
      </c>
      <c r="B108" s="52" t="s">
        <v>311</v>
      </c>
      <c r="C108" s="66" t="s">
        <v>628</v>
      </c>
      <c r="D108" s="125" t="s">
        <v>314</v>
      </c>
      <c r="E108" s="125" t="s">
        <v>315</v>
      </c>
      <c r="F108" s="120"/>
      <c r="G108" s="52">
        <v>1</v>
      </c>
      <c r="H108" s="65" t="s">
        <v>463</v>
      </c>
      <c r="I108" s="65" t="s">
        <v>597</v>
      </c>
      <c r="J108" s="65" t="s">
        <v>598</v>
      </c>
      <c r="K108" s="65"/>
      <c r="L108" s="65"/>
      <c r="M108" s="49"/>
      <c r="N108" s="49"/>
      <c r="O108" s="49"/>
      <c r="P108" s="49"/>
      <c r="Q108" s="49"/>
      <c r="R108" s="49"/>
      <c r="S108" s="49"/>
      <c r="T108" s="65"/>
      <c r="U108" s="51"/>
      <c r="V108" s="51"/>
      <c r="W108" s="51"/>
      <c r="X108" s="51"/>
      <c r="Y108" s="51"/>
      <c r="Z108" s="51"/>
      <c r="AA108" s="55"/>
      <c r="AB108" s="51"/>
      <c r="AC108" s="51"/>
      <c r="AD108" s="65"/>
      <c r="AE108" s="65"/>
      <c r="AF108" s="51"/>
      <c r="AG108" s="51"/>
    </row>
    <row r="109" spans="1:33" ht="21" customHeight="1">
      <c r="A109" s="52" t="s">
        <v>310</v>
      </c>
      <c r="B109" s="52" t="s">
        <v>311</v>
      </c>
      <c r="C109" s="156" t="s">
        <v>629</v>
      </c>
      <c r="D109" s="125" t="s">
        <v>316</v>
      </c>
      <c r="E109" s="125" t="s">
        <v>317</v>
      </c>
      <c r="F109" s="120"/>
      <c r="G109" s="128">
        <v>1</v>
      </c>
      <c r="H109" s="65" t="s">
        <v>476</v>
      </c>
      <c r="I109" s="65" t="s">
        <v>617</v>
      </c>
      <c r="J109" s="65" t="s">
        <v>617</v>
      </c>
      <c r="K109" s="65"/>
      <c r="L109" s="65"/>
      <c r="M109" s="49"/>
      <c r="N109" s="49"/>
      <c r="O109" s="49"/>
      <c r="P109" s="49"/>
      <c r="Q109" s="49"/>
      <c r="R109" s="49"/>
      <c r="S109" s="49"/>
      <c r="T109" s="65"/>
      <c r="U109" s="51"/>
      <c r="V109" s="51"/>
      <c r="W109" s="51"/>
      <c r="X109" s="51"/>
      <c r="Y109" s="51"/>
      <c r="Z109" s="51"/>
      <c r="AA109" s="55"/>
      <c r="AB109" s="51"/>
      <c r="AC109" s="51"/>
      <c r="AD109" s="65"/>
      <c r="AE109" s="65"/>
      <c r="AF109" s="51"/>
      <c r="AG109" s="51"/>
    </row>
    <row r="110" spans="1:33" ht="21" customHeight="1">
      <c r="A110" s="52" t="s">
        <v>310</v>
      </c>
      <c r="B110" s="52" t="s">
        <v>311</v>
      </c>
      <c r="C110" s="156" t="s">
        <v>629</v>
      </c>
      <c r="D110" s="125" t="s">
        <v>318</v>
      </c>
      <c r="E110" s="125" t="s">
        <v>319</v>
      </c>
      <c r="F110" s="120"/>
      <c r="G110" s="128">
        <v>1</v>
      </c>
      <c r="H110" s="65" t="s">
        <v>476</v>
      </c>
      <c r="I110" s="65" t="s">
        <v>617</v>
      </c>
      <c r="J110" s="65" t="s">
        <v>617</v>
      </c>
      <c r="K110" s="65"/>
      <c r="L110" s="65"/>
      <c r="M110" s="49"/>
      <c r="N110" s="49"/>
      <c r="O110" s="49"/>
      <c r="P110" s="49"/>
      <c r="Q110" s="49"/>
      <c r="R110" s="49"/>
      <c r="S110" s="49"/>
      <c r="T110" s="65"/>
      <c r="U110" s="51"/>
      <c r="V110" s="51"/>
      <c r="W110" s="51"/>
      <c r="X110" s="51"/>
      <c r="Y110" s="51"/>
      <c r="Z110" s="51"/>
      <c r="AA110" s="55"/>
      <c r="AB110" s="51"/>
      <c r="AC110" s="51"/>
      <c r="AD110" s="65"/>
      <c r="AE110" s="65"/>
      <c r="AF110" s="51"/>
      <c r="AG110" s="51"/>
    </row>
    <row r="111" spans="1:33" ht="21" customHeight="1">
      <c r="A111" s="52" t="s">
        <v>310</v>
      </c>
      <c r="B111" s="52" t="s">
        <v>311</v>
      </c>
      <c r="C111" s="156" t="s">
        <v>629</v>
      </c>
      <c r="D111" s="125" t="s">
        <v>320</v>
      </c>
      <c r="E111" s="125" t="s">
        <v>321</v>
      </c>
      <c r="F111" s="120"/>
      <c r="G111" s="128">
        <v>1</v>
      </c>
      <c r="H111" s="65" t="s">
        <v>476</v>
      </c>
      <c r="I111" s="65" t="s">
        <v>617</v>
      </c>
      <c r="J111" s="65" t="s">
        <v>617</v>
      </c>
      <c r="K111" s="65"/>
      <c r="L111" s="65"/>
      <c r="M111" s="49"/>
      <c r="N111" s="49"/>
      <c r="O111" s="49"/>
      <c r="P111" s="49"/>
      <c r="Q111" s="49"/>
      <c r="R111" s="49"/>
      <c r="S111" s="49"/>
      <c r="T111" s="65"/>
      <c r="U111" s="51"/>
      <c r="V111" s="51"/>
      <c r="W111" s="51"/>
      <c r="X111" s="51"/>
      <c r="Y111" s="51"/>
      <c r="Z111" s="51"/>
      <c r="AA111" s="55"/>
      <c r="AB111" s="51"/>
      <c r="AC111" s="51"/>
      <c r="AD111" s="65"/>
      <c r="AE111" s="65"/>
      <c r="AF111" s="51"/>
      <c r="AG111" s="51"/>
    </row>
    <row r="112" spans="1:33" ht="21" customHeight="1">
      <c r="A112" s="52" t="s">
        <v>310</v>
      </c>
      <c r="B112" s="52" t="s">
        <v>311</v>
      </c>
      <c r="C112" s="66" t="s">
        <v>628</v>
      </c>
      <c r="D112" s="125" t="s">
        <v>322</v>
      </c>
      <c r="E112" s="125" t="s">
        <v>323</v>
      </c>
      <c r="F112" s="120"/>
      <c r="G112" s="52">
        <v>1</v>
      </c>
      <c r="H112" s="65" t="s">
        <v>463</v>
      </c>
      <c r="I112" s="65" t="s">
        <v>599</v>
      </c>
      <c r="J112" s="65" t="s">
        <v>599</v>
      </c>
      <c r="K112" s="65"/>
      <c r="L112" s="65"/>
      <c r="M112" s="49"/>
      <c r="N112" s="49"/>
      <c r="O112" s="49"/>
      <c r="P112" s="49"/>
      <c r="Q112" s="49"/>
      <c r="R112" s="49"/>
      <c r="S112" s="49"/>
      <c r="T112" s="65"/>
      <c r="U112" s="51"/>
      <c r="V112" s="51"/>
      <c r="W112" s="51"/>
      <c r="X112" s="51"/>
      <c r="Y112" s="51"/>
      <c r="Z112" s="51"/>
      <c r="AA112" s="55"/>
      <c r="AB112" s="51"/>
      <c r="AC112" s="51"/>
      <c r="AD112" s="65"/>
      <c r="AE112" s="65"/>
      <c r="AF112" s="51"/>
      <c r="AG112" s="51"/>
    </row>
    <row r="113" spans="1:33" ht="21" customHeight="1">
      <c r="A113" s="52" t="s">
        <v>310</v>
      </c>
      <c r="B113" s="52" t="s">
        <v>311</v>
      </c>
      <c r="C113" s="66" t="s">
        <v>628</v>
      </c>
      <c r="D113" s="125" t="s">
        <v>324</v>
      </c>
      <c r="E113" s="125" t="s">
        <v>325</v>
      </c>
      <c r="F113" s="120"/>
      <c r="G113" s="52">
        <v>1</v>
      </c>
      <c r="H113" s="65" t="s">
        <v>463</v>
      </c>
      <c r="I113" s="65" t="s">
        <v>600</v>
      </c>
      <c r="J113" s="65" t="s">
        <v>600</v>
      </c>
      <c r="K113" s="65"/>
      <c r="L113" s="65"/>
      <c r="M113" s="49"/>
      <c r="N113" s="49"/>
      <c r="O113" s="49"/>
      <c r="P113" s="49"/>
      <c r="Q113" s="49"/>
      <c r="R113" s="49"/>
      <c r="S113" s="49"/>
      <c r="T113" s="65"/>
      <c r="U113" s="51"/>
      <c r="V113" s="51"/>
      <c r="W113" s="51"/>
      <c r="X113" s="51"/>
      <c r="Y113" s="51"/>
      <c r="Z113" s="51"/>
      <c r="AA113" s="55"/>
      <c r="AB113" s="51"/>
      <c r="AC113" s="51"/>
      <c r="AD113" s="65"/>
      <c r="AE113" s="65"/>
      <c r="AF113" s="51"/>
      <c r="AG113" s="51"/>
    </row>
    <row r="114" spans="1:33" ht="21" customHeight="1">
      <c r="A114" s="52" t="s">
        <v>310</v>
      </c>
      <c r="B114" s="52" t="s">
        <v>311</v>
      </c>
      <c r="C114" s="156" t="s">
        <v>629</v>
      </c>
      <c r="D114" s="125" t="s">
        <v>326</v>
      </c>
      <c r="E114" s="125" t="s">
        <v>327</v>
      </c>
      <c r="F114" s="120"/>
      <c r="G114" s="128">
        <v>1</v>
      </c>
      <c r="H114" s="65" t="s">
        <v>476</v>
      </c>
      <c r="I114" s="65" t="s">
        <v>617</v>
      </c>
      <c r="J114" s="65" t="s">
        <v>617</v>
      </c>
      <c r="K114" s="65"/>
      <c r="L114" s="65"/>
      <c r="M114" s="49"/>
      <c r="N114" s="49"/>
      <c r="O114" s="49"/>
      <c r="P114" s="49"/>
      <c r="Q114" s="49"/>
      <c r="R114" s="49"/>
      <c r="S114" s="49"/>
      <c r="T114" s="65"/>
      <c r="U114" s="51"/>
      <c r="V114" s="51"/>
      <c r="W114" s="51"/>
      <c r="X114" s="51"/>
      <c r="Y114" s="51"/>
      <c r="Z114" s="51"/>
      <c r="AA114" s="55"/>
      <c r="AB114" s="51"/>
      <c r="AC114" s="51"/>
      <c r="AD114" s="65"/>
      <c r="AE114" s="65"/>
      <c r="AF114" s="51"/>
      <c r="AG114" s="51"/>
    </row>
    <row r="115" spans="1:33" ht="21" customHeight="1">
      <c r="A115" s="52" t="s">
        <v>310</v>
      </c>
      <c r="B115" s="52" t="s">
        <v>311</v>
      </c>
      <c r="C115" s="156" t="s">
        <v>629</v>
      </c>
      <c r="D115" s="125" t="s">
        <v>328</v>
      </c>
      <c r="E115" s="125" t="s">
        <v>329</v>
      </c>
      <c r="F115" s="120"/>
      <c r="G115" s="128">
        <v>1</v>
      </c>
      <c r="H115" s="65" t="s">
        <v>476</v>
      </c>
      <c r="I115" s="65" t="s">
        <v>617</v>
      </c>
      <c r="J115" s="65" t="s">
        <v>617</v>
      </c>
      <c r="K115" s="65"/>
      <c r="L115" s="65"/>
      <c r="M115" s="49"/>
      <c r="N115" s="49"/>
      <c r="O115" s="49"/>
      <c r="P115" s="49"/>
      <c r="Q115" s="49"/>
      <c r="R115" s="49"/>
      <c r="S115" s="49"/>
      <c r="T115" s="65"/>
      <c r="U115" s="51"/>
      <c r="V115" s="51"/>
      <c r="W115" s="51"/>
      <c r="X115" s="51"/>
      <c r="Y115" s="51"/>
      <c r="Z115" s="51"/>
      <c r="AA115" s="55"/>
      <c r="AB115" s="51"/>
      <c r="AC115" s="51"/>
      <c r="AD115" s="65"/>
      <c r="AE115" s="65"/>
      <c r="AF115" s="51"/>
      <c r="AG115" s="51"/>
    </row>
    <row r="116" spans="1:33" ht="21" customHeight="1">
      <c r="A116" s="52" t="s">
        <v>310</v>
      </c>
      <c r="B116" s="52" t="s">
        <v>311</v>
      </c>
      <c r="C116" s="66" t="s">
        <v>628</v>
      </c>
      <c r="D116" s="127" t="s">
        <v>330</v>
      </c>
      <c r="E116" s="127" t="s">
        <v>331</v>
      </c>
      <c r="F116" s="120"/>
      <c r="G116" s="52">
        <v>1</v>
      </c>
      <c r="H116" s="65" t="s">
        <v>463</v>
      </c>
      <c r="I116" s="65" t="s">
        <v>602</v>
      </c>
      <c r="J116" s="65" t="s">
        <v>601</v>
      </c>
      <c r="K116" s="65"/>
      <c r="L116" s="65"/>
      <c r="M116" s="49"/>
      <c r="N116" s="49"/>
      <c r="O116" s="49"/>
      <c r="P116" s="49"/>
      <c r="Q116" s="49"/>
      <c r="R116" s="49"/>
      <c r="S116" s="49"/>
      <c r="T116" s="65"/>
      <c r="U116" s="51"/>
      <c r="V116" s="51"/>
      <c r="W116" s="51"/>
      <c r="X116" s="51"/>
      <c r="Y116" s="51"/>
      <c r="Z116" s="51"/>
      <c r="AA116" s="55"/>
      <c r="AB116" s="51"/>
      <c r="AC116" s="51"/>
      <c r="AD116" s="65"/>
      <c r="AE116" s="65"/>
      <c r="AF116" s="51"/>
      <c r="AG116" s="51"/>
    </row>
    <row r="117" spans="1:33" ht="21" customHeight="1">
      <c r="A117" s="52" t="s">
        <v>310</v>
      </c>
      <c r="B117" s="52" t="s">
        <v>332</v>
      </c>
      <c r="C117" s="66" t="s">
        <v>628</v>
      </c>
      <c r="D117" s="125" t="s">
        <v>333</v>
      </c>
      <c r="E117" s="125" t="s">
        <v>334</v>
      </c>
      <c r="F117" s="120"/>
      <c r="G117" s="52">
        <v>2</v>
      </c>
      <c r="H117" s="65" t="s">
        <v>463</v>
      </c>
      <c r="I117" s="65" t="s">
        <v>603</v>
      </c>
      <c r="J117" s="65" t="s">
        <v>604</v>
      </c>
      <c r="K117" s="65"/>
      <c r="L117" s="65"/>
      <c r="M117" s="49"/>
      <c r="N117" s="49"/>
      <c r="O117" s="49"/>
      <c r="P117" s="49"/>
      <c r="Q117" s="49"/>
      <c r="R117" s="49"/>
      <c r="S117" s="49"/>
      <c r="T117" s="65"/>
      <c r="U117" s="51"/>
      <c r="V117" s="51"/>
      <c r="W117" s="51"/>
      <c r="X117" s="51"/>
      <c r="Y117" s="51"/>
      <c r="Z117" s="51"/>
      <c r="AA117" s="55"/>
      <c r="AB117" s="51"/>
      <c r="AC117" s="51"/>
      <c r="AD117" s="65"/>
      <c r="AE117" s="65"/>
      <c r="AF117" s="51"/>
      <c r="AG117" s="51"/>
    </row>
    <row r="118" spans="1:33" ht="21" customHeight="1">
      <c r="A118" s="52" t="s">
        <v>310</v>
      </c>
      <c r="B118" s="52" t="s">
        <v>332</v>
      </c>
      <c r="C118" s="66" t="s">
        <v>628</v>
      </c>
      <c r="D118" s="125" t="s">
        <v>335</v>
      </c>
      <c r="E118" s="125" t="s">
        <v>336</v>
      </c>
      <c r="F118" s="120"/>
      <c r="G118" s="52">
        <v>1</v>
      </c>
      <c r="H118" s="65" t="s">
        <v>463</v>
      </c>
      <c r="I118" s="65" t="s">
        <v>605</v>
      </c>
      <c r="J118" s="65" t="s">
        <v>605</v>
      </c>
      <c r="K118" s="65"/>
      <c r="L118" s="65"/>
      <c r="M118" s="49"/>
      <c r="N118" s="49"/>
      <c r="O118" s="49"/>
      <c r="P118" s="49"/>
      <c r="Q118" s="49"/>
      <c r="R118" s="49"/>
      <c r="S118" s="49"/>
      <c r="T118" s="65"/>
      <c r="U118" s="51"/>
      <c r="V118" s="51"/>
      <c r="W118" s="51"/>
      <c r="X118" s="51"/>
      <c r="Y118" s="51"/>
      <c r="Z118" s="51"/>
      <c r="AA118" s="55"/>
      <c r="AB118" s="51"/>
      <c r="AC118" s="51"/>
      <c r="AD118" s="65"/>
      <c r="AE118" s="65"/>
      <c r="AF118" s="51"/>
      <c r="AG118" s="51"/>
    </row>
    <row r="119" spans="1:33" ht="21" customHeight="1">
      <c r="A119" s="52" t="s">
        <v>310</v>
      </c>
      <c r="B119" s="52" t="s">
        <v>332</v>
      </c>
      <c r="C119" s="66" t="s">
        <v>628</v>
      </c>
      <c r="D119" s="125" t="s">
        <v>337</v>
      </c>
      <c r="E119" s="125" t="s">
        <v>338</v>
      </c>
      <c r="F119" s="120"/>
      <c r="G119" s="52">
        <v>1</v>
      </c>
      <c r="H119" s="65" t="s">
        <v>463</v>
      </c>
      <c r="I119" s="65" t="s">
        <v>606</v>
      </c>
      <c r="J119" s="65" t="s">
        <v>606</v>
      </c>
      <c r="K119" s="65"/>
      <c r="L119" s="65"/>
      <c r="M119" s="49"/>
      <c r="N119" s="49"/>
      <c r="O119" s="49"/>
      <c r="P119" s="49"/>
      <c r="Q119" s="49"/>
      <c r="R119" s="49"/>
      <c r="S119" s="49"/>
      <c r="T119" s="65"/>
      <c r="U119" s="51"/>
      <c r="V119" s="51"/>
      <c r="W119" s="51"/>
      <c r="X119" s="51"/>
      <c r="Y119" s="51"/>
      <c r="Z119" s="51"/>
      <c r="AA119" s="55"/>
      <c r="AB119" s="51"/>
      <c r="AC119" s="51"/>
      <c r="AD119" s="65"/>
      <c r="AE119" s="65"/>
      <c r="AF119" s="51"/>
      <c r="AG119" s="51"/>
    </row>
    <row r="120" spans="1:33" ht="21" customHeight="1">
      <c r="A120" s="52" t="s">
        <v>310</v>
      </c>
      <c r="B120" s="52" t="s">
        <v>332</v>
      </c>
      <c r="C120" s="66" t="s">
        <v>628</v>
      </c>
      <c r="D120" s="125" t="s">
        <v>339</v>
      </c>
      <c r="E120" s="125" t="s">
        <v>340</v>
      </c>
      <c r="F120" s="120"/>
      <c r="G120" s="52">
        <v>1</v>
      </c>
      <c r="H120" s="65" t="s">
        <v>463</v>
      </c>
      <c r="I120" s="65" t="s">
        <v>607</v>
      </c>
      <c r="J120" s="65" t="s">
        <v>607</v>
      </c>
      <c r="K120" s="65"/>
      <c r="L120" s="65"/>
      <c r="M120" s="49"/>
      <c r="N120" s="49"/>
      <c r="O120" s="49"/>
      <c r="P120" s="49"/>
      <c r="Q120" s="49"/>
      <c r="R120" s="49"/>
      <c r="S120" s="49"/>
      <c r="T120" s="65"/>
      <c r="U120" s="51"/>
      <c r="V120" s="51"/>
      <c r="W120" s="51"/>
      <c r="X120" s="51"/>
      <c r="Y120" s="51"/>
      <c r="Z120" s="51"/>
      <c r="AA120" s="55"/>
      <c r="AB120" s="51"/>
      <c r="AC120" s="51"/>
      <c r="AD120" s="65"/>
      <c r="AE120" s="65"/>
      <c r="AF120" s="51"/>
      <c r="AG120" s="51"/>
    </row>
    <row r="121" spans="1:33" ht="21" customHeight="1">
      <c r="A121" s="52" t="s">
        <v>310</v>
      </c>
      <c r="B121" s="52" t="s">
        <v>332</v>
      </c>
      <c r="C121" s="156" t="s">
        <v>629</v>
      </c>
      <c r="D121" s="125" t="s">
        <v>341</v>
      </c>
      <c r="E121" s="125" t="s">
        <v>342</v>
      </c>
      <c r="F121" s="120"/>
      <c r="G121" s="113">
        <v>1</v>
      </c>
      <c r="H121" s="65" t="s">
        <v>620</v>
      </c>
      <c r="I121" s="65" t="s">
        <v>617</v>
      </c>
      <c r="J121" s="65" t="s">
        <v>617</v>
      </c>
      <c r="K121" s="65"/>
      <c r="L121" s="65"/>
      <c r="M121" s="49"/>
      <c r="N121" s="49"/>
      <c r="O121" s="49"/>
      <c r="P121" s="49"/>
      <c r="Q121" s="49"/>
      <c r="R121" s="49"/>
      <c r="S121" s="49"/>
      <c r="T121" s="65"/>
      <c r="U121" s="51"/>
      <c r="V121" s="51"/>
      <c r="W121" s="51"/>
      <c r="X121" s="51"/>
      <c r="Y121" s="51"/>
      <c r="Z121" s="51"/>
      <c r="AA121" s="55"/>
      <c r="AB121" s="51"/>
      <c r="AC121" s="51"/>
      <c r="AD121" s="65"/>
      <c r="AE121" s="65"/>
      <c r="AF121" s="51"/>
      <c r="AG121" s="51"/>
    </row>
    <row r="122" spans="1:33" ht="21" customHeight="1">
      <c r="A122" s="52" t="s">
        <v>310</v>
      </c>
      <c r="B122" s="52" t="s">
        <v>332</v>
      </c>
      <c r="C122" s="156" t="s">
        <v>629</v>
      </c>
      <c r="D122" s="125" t="s">
        <v>343</v>
      </c>
      <c r="E122" s="125" t="s">
        <v>344</v>
      </c>
      <c r="F122" s="120"/>
      <c r="G122" s="113">
        <v>1</v>
      </c>
      <c r="H122" s="65" t="s">
        <v>620</v>
      </c>
      <c r="I122" s="65" t="s">
        <v>617</v>
      </c>
      <c r="J122" s="65" t="s">
        <v>617</v>
      </c>
      <c r="K122" s="65"/>
      <c r="L122" s="65"/>
      <c r="M122" s="49"/>
      <c r="N122" s="49"/>
      <c r="O122" s="49"/>
      <c r="P122" s="49"/>
      <c r="Q122" s="49"/>
      <c r="R122" s="49"/>
      <c r="S122" s="49"/>
      <c r="T122" s="65"/>
      <c r="U122" s="51"/>
      <c r="V122" s="51"/>
      <c r="W122" s="51"/>
      <c r="X122" s="51"/>
      <c r="Y122" s="51"/>
      <c r="Z122" s="51"/>
      <c r="AA122" s="55"/>
      <c r="AB122" s="51"/>
      <c r="AC122" s="51"/>
      <c r="AD122" s="65"/>
      <c r="AE122" s="65"/>
      <c r="AF122" s="51"/>
      <c r="AG122" s="51"/>
    </row>
    <row r="123" spans="1:33" ht="21" customHeight="1">
      <c r="A123" s="52" t="s">
        <v>310</v>
      </c>
      <c r="B123" s="52" t="s">
        <v>332</v>
      </c>
      <c r="C123" s="156" t="s">
        <v>629</v>
      </c>
      <c r="D123" s="125" t="s">
        <v>345</v>
      </c>
      <c r="E123" s="125" t="s">
        <v>346</v>
      </c>
      <c r="F123" s="120"/>
      <c r="G123" s="113">
        <v>1</v>
      </c>
      <c r="H123" s="65" t="s">
        <v>620</v>
      </c>
      <c r="I123" s="65" t="s">
        <v>617</v>
      </c>
      <c r="J123" s="65" t="s">
        <v>617</v>
      </c>
      <c r="K123" s="65"/>
      <c r="L123" s="65"/>
      <c r="M123" s="49"/>
      <c r="N123" s="49"/>
      <c r="O123" s="49"/>
      <c r="P123" s="49"/>
      <c r="Q123" s="49"/>
      <c r="R123" s="49"/>
      <c r="S123" s="49"/>
      <c r="T123" s="65"/>
      <c r="U123" s="51"/>
      <c r="V123" s="51"/>
      <c r="W123" s="51"/>
      <c r="X123" s="51"/>
      <c r="Y123" s="51"/>
      <c r="Z123" s="51"/>
      <c r="AA123" s="55"/>
      <c r="AB123" s="51"/>
      <c r="AC123" s="51"/>
      <c r="AD123" s="65"/>
      <c r="AE123" s="65"/>
      <c r="AF123" s="51"/>
      <c r="AG123" s="51"/>
    </row>
    <row r="124" spans="1:33" ht="21" customHeight="1">
      <c r="A124" s="52" t="s">
        <v>310</v>
      </c>
      <c r="B124" s="52" t="s">
        <v>332</v>
      </c>
      <c r="C124" s="156" t="s">
        <v>629</v>
      </c>
      <c r="D124" s="125" t="s">
        <v>347</v>
      </c>
      <c r="E124" s="125" t="s">
        <v>348</v>
      </c>
      <c r="F124" s="120"/>
      <c r="G124" s="113">
        <v>1</v>
      </c>
      <c r="H124" s="65" t="s">
        <v>620</v>
      </c>
      <c r="I124" s="65" t="s">
        <v>617</v>
      </c>
      <c r="J124" s="65" t="s">
        <v>617</v>
      </c>
      <c r="K124" s="65"/>
      <c r="L124" s="65"/>
      <c r="M124" s="49"/>
      <c r="N124" s="49"/>
      <c r="O124" s="49"/>
      <c r="P124" s="49"/>
      <c r="Q124" s="49"/>
      <c r="R124" s="49"/>
      <c r="S124" s="49"/>
      <c r="T124" s="65"/>
      <c r="U124" s="51"/>
      <c r="V124" s="51"/>
      <c r="W124" s="51"/>
      <c r="X124" s="51"/>
      <c r="Y124" s="51"/>
      <c r="Z124" s="51"/>
      <c r="AA124" s="55"/>
      <c r="AB124" s="51"/>
      <c r="AC124" s="51"/>
      <c r="AD124" s="65"/>
      <c r="AE124" s="65"/>
      <c r="AF124" s="51"/>
      <c r="AG124" s="51"/>
    </row>
    <row r="125" spans="1:33" ht="21" customHeight="1">
      <c r="A125" s="52" t="s">
        <v>310</v>
      </c>
      <c r="B125" s="52" t="s">
        <v>332</v>
      </c>
      <c r="C125" s="156" t="s">
        <v>629</v>
      </c>
      <c r="D125" s="125" t="s">
        <v>349</v>
      </c>
      <c r="E125" s="125" t="s">
        <v>350</v>
      </c>
      <c r="F125" s="120"/>
      <c r="G125" s="113">
        <v>1</v>
      </c>
      <c r="H125" s="65" t="s">
        <v>620</v>
      </c>
      <c r="I125" s="65" t="s">
        <v>617</v>
      </c>
      <c r="J125" s="65" t="s">
        <v>617</v>
      </c>
      <c r="K125" s="65"/>
      <c r="L125" s="65"/>
      <c r="M125" s="49"/>
      <c r="N125" s="49"/>
      <c r="O125" s="49"/>
      <c r="P125" s="49"/>
      <c r="Q125" s="49"/>
      <c r="R125" s="49"/>
      <c r="S125" s="49"/>
      <c r="T125" s="65"/>
      <c r="U125" s="51"/>
      <c r="V125" s="51"/>
      <c r="W125" s="51"/>
      <c r="X125" s="51"/>
      <c r="Y125" s="51"/>
      <c r="Z125" s="51"/>
      <c r="AA125" s="55"/>
      <c r="AB125" s="51"/>
      <c r="AC125" s="51"/>
      <c r="AD125" s="65"/>
      <c r="AE125" s="65"/>
      <c r="AF125" s="51"/>
      <c r="AG125" s="51"/>
    </row>
    <row r="126" spans="1:33" ht="21" customHeight="1">
      <c r="A126" s="52" t="s">
        <v>310</v>
      </c>
      <c r="B126" s="52" t="s">
        <v>332</v>
      </c>
      <c r="C126" s="156" t="s">
        <v>629</v>
      </c>
      <c r="D126" s="125" t="s">
        <v>351</v>
      </c>
      <c r="E126" s="125" t="s">
        <v>352</v>
      </c>
      <c r="F126" s="120"/>
      <c r="G126" s="113">
        <v>1</v>
      </c>
      <c r="H126" s="65" t="s">
        <v>620</v>
      </c>
      <c r="I126" s="65" t="s">
        <v>617</v>
      </c>
      <c r="J126" s="65" t="s">
        <v>617</v>
      </c>
      <c r="K126" s="65"/>
      <c r="L126" s="65"/>
      <c r="M126" s="49"/>
      <c r="N126" s="49"/>
      <c r="O126" s="49"/>
      <c r="P126" s="49"/>
      <c r="Q126" s="49"/>
      <c r="R126" s="49"/>
      <c r="S126" s="49"/>
      <c r="T126" s="65"/>
      <c r="U126" s="51"/>
      <c r="V126" s="51"/>
      <c r="W126" s="51"/>
      <c r="X126" s="51"/>
      <c r="Y126" s="51"/>
      <c r="Z126" s="51"/>
      <c r="AA126" s="55"/>
      <c r="AB126" s="51"/>
      <c r="AC126" s="51"/>
      <c r="AD126" s="65"/>
      <c r="AE126" s="65"/>
      <c r="AF126" s="51"/>
      <c r="AG126" s="51"/>
    </row>
    <row r="127" spans="1:33" ht="21" customHeight="1">
      <c r="A127" s="52" t="s">
        <v>310</v>
      </c>
      <c r="B127" s="52" t="s">
        <v>332</v>
      </c>
      <c r="C127" s="66" t="s">
        <v>628</v>
      </c>
      <c r="D127" s="127" t="s">
        <v>353</v>
      </c>
      <c r="E127" s="127" t="s">
        <v>354</v>
      </c>
      <c r="F127" s="120"/>
      <c r="G127" s="52">
        <v>1</v>
      </c>
      <c r="H127" s="65" t="s">
        <v>463</v>
      </c>
      <c r="I127" s="65" t="s">
        <v>608</v>
      </c>
      <c r="J127" s="65" t="s">
        <v>608</v>
      </c>
      <c r="K127" s="65"/>
      <c r="L127" s="65"/>
      <c r="M127" s="49"/>
      <c r="N127" s="49"/>
      <c r="O127" s="49"/>
      <c r="P127" s="49"/>
      <c r="Q127" s="49"/>
      <c r="R127" s="49"/>
      <c r="S127" s="49"/>
      <c r="T127" s="65"/>
      <c r="U127" s="51"/>
      <c r="V127" s="51"/>
      <c r="W127" s="51"/>
      <c r="X127" s="51"/>
      <c r="Y127" s="51"/>
      <c r="Z127" s="51"/>
      <c r="AA127" s="55"/>
      <c r="AB127" s="51"/>
      <c r="AC127" s="51"/>
      <c r="AD127" s="65"/>
      <c r="AE127" s="65"/>
      <c r="AF127" s="51"/>
      <c r="AG127" s="51"/>
    </row>
    <row r="128" spans="1:33" ht="21" customHeight="1">
      <c r="A128" s="52" t="s">
        <v>371</v>
      </c>
      <c r="B128" s="52" t="s">
        <v>372</v>
      </c>
      <c r="C128" s="66" t="s">
        <v>628</v>
      </c>
      <c r="D128" s="125" t="s">
        <v>355</v>
      </c>
      <c r="E128" s="125" t="s">
        <v>356</v>
      </c>
      <c r="F128" s="120"/>
      <c r="G128" s="52">
        <v>1</v>
      </c>
      <c r="H128" s="65" t="s">
        <v>467</v>
      </c>
      <c r="I128" s="52" t="s">
        <v>611</v>
      </c>
      <c r="J128" s="52" t="s">
        <v>611</v>
      </c>
      <c r="K128" s="65"/>
      <c r="L128" s="65"/>
      <c r="M128" s="49"/>
      <c r="N128" s="49"/>
      <c r="O128" s="49"/>
      <c r="P128" s="49"/>
      <c r="Q128" s="49"/>
      <c r="R128" s="49"/>
      <c r="S128" s="49"/>
      <c r="T128" s="65"/>
      <c r="U128" s="51"/>
      <c r="V128" s="51"/>
      <c r="W128" s="51"/>
      <c r="X128" s="51"/>
      <c r="Y128" s="51"/>
      <c r="Z128" s="51"/>
      <c r="AA128" s="55"/>
      <c r="AB128" s="51"/>
      <c r="AC128" s="51"/>
      <c r="AD128" s="65"/>
      <c r="AE128" s="65"/>
      <c r="AF128" s="51"/>
      <c r="AG128" s="51"/>
    </row>
    <row r="129" spans="1:33" ht="21" customHeight="1">
      <c r="A129" s="52" t="s">
        <v>371</v>
      </c>
      <c r="B129" s="52" t="s">
        <v>372</v>
      </c>
      <c r="C129" s="66" t="s">
        <v>628</v>
      </c>
      <c r="D129" s="125" t="s">
        <v>357</v>
      </c>
      <c r="E129" s="125" t="s">
        <v>358</v>
      </c>
      <c r="F129" s="120"/>
      <c r="G129" s="52">
        <v>1</v>
      </c>
      <c r="H129" s="65" t="s">
        <v>467</v>
      </c>
      <c r="I129" s="52" t="s">
        <v>612</v>
      </c>
      <c r="J129" s="52" t="s">
        <v>612</v>
      </c>
      <c r="K129" s="65"/>
      <c r="L129" s="65"/>
      <c r="M129" s="49"/>
      <c r="N129" s="49"/>
      <c r="O129" s="49"/>
      <c r="P129" s="49"/>
      <c r="Q129" s="49"/>
      <c r="R129" s="49"/>
      <c r="S129" s="49"/>
      <c r="T129" s="65"/>
      <c r="U129" s="51"/>
      <c r="V129" s="51"/>
      <c r="W129" s="51"/>
      <c r="X129" s="51"/>
      <c r="Y129" s="51"/>
      <c r="Z129" s="51"/>
      <c r="AA129" s="55"/>
      <c r="AB129" s="51"/>
      <c r="AC129" s="51"/>
      <c r="AD129" s="65"/>
      <c r="AE129" s="65"/>
      <c r="AF129" s="51"/>
      <c r="AG129" s="51"/>
    </row>
    <row r="130" spans="1:33" ht="21" customHeight="1">
      <c r="A130" s="52" t="s">
        <v>371</v>
      </c>
      <c r="B130" s="52" t="s">
        <v>372</v>
      </c>
      <c r="C130" s="66" t="s">
        <v>628</v>
      </c>
      <c r="D130" s="125" t="s">
        <v>359</v>
      </c>
      <c r="E130" s="125" t="s">
        <v>360</v>
      </c>
      <c r="F130" s="120"/>
      <c r="G130" s="52">
        <v>1</v>
      </c>
      <c r="H130" s="65" t="s">
        <v>467</v>
      </c>
      <c r="I130" s="52" t="s">
        <v>613</v>
      </c>
      <c r="J130" s="52" t="s">
        <v>613</v>
      </c>
      <c r="K130" s="65"/>
      <c r="L130" s="65"/>
      <c r="M130" s="49"/>
      <c r="N130" s="49"/>
      <c r="O130" s="49"/>
      <c r="P130" s="49"/>
      <c r="Q130" s="49"/>
      <c r="R130" s="49"/>
      <c r="S130" s="49"/>
      <c r="T130" s="65"/>
      <c r="U130" s="51"/>
      <c r="V130" s="51"/>
      <c r="W130" s="51"/>
      <c r="X130" s="51"/>
      <c r="Y130" s="51"/>
      <c r="Z130" s="51"/>
      <c r="AA130" s="55"/>
      <c r="AB130" s="51"/>
      <c r="AC130" s="51"/>
      <c r="AD130" s="65"/>
      <c r="AE130" s="65"/>
      <c r="AF130" s="51"/>
      <c r="AG130" s="51"/>
    </row>
    <row r="131" spans="1:33" ht="21" customHeight="1">
      <c r="A131" s="52" t="s">
        <v>371</v>
      </c>
      <c r="B131" s="52" t="s">
        <v>372</v>
      </c>
      <c r="C131" s="66" t="s">
        <v>628</v>
      </c>
      <c r="D131" s="125" t="s">
        <v>361</v>
      </c>
      <c r="E131" s="125" t="s">
        <v>362</v>
      </c>
      <c r="F131" s="120"/>
      <c r="G131" s="52">
        <v>1</v>
      </c>
      <c r="H131" s="65" t="s">
        <v>467</v>
      </c>
      <c r="I131" s="52" t="s">
        <v>584</v>
      </c>
      <c r="J131" s="52" t="s">
        <v>584</v>
      </c>
      <c r="K131" s="65"/>
      <c r="L131" s="65"/>
      <c r="M131" s="49"/>
      <c r="N131" s="49"/>
      <c r="O131" s="49"/>
      <c r="P131" s="49"/>
      <c r="Q131" s="49"/>
      <c r="R131" s="49"/>
      <c r="S131" s="49"/>
      <c r="T131" s="65"/>
      <c r="U131" s="51"/>
      <c r="V131" s="51"/>
      <c r="W131" s="51"/>
      <c r="X131" s="51"/>
      <c r="Y131" s="51"/>
      <c r="Z131" s="51"/>
      <c r="AA131" s="55"/>
      <c r="AB131" s="51"/>
      <c r="AC131" s="51"/>
      <c r="AD131" s="65"/>
      <c r="AE131" s="65"/>
      <c r="AF131" s="51"/>
      <c r="AG131" s="51"/>
    </row>
    <row r="132" spans="1:33" ht="21" customHeight="1">
      <c r="A132" s="52" t="s">
        <v>371</v>
      </c>
      <c r="B132" s="52" t="s">
        <v>372</v>
      </c>
      <c r="C132" s="66" t="s">
        <v>628</v>
      </c>
      <c r="D132" s="125" t="s">
        <v>363</v>
      </c>
      <c r="E132" s="125" t="s">
        <v>364</v>
      </c>
      <c r="F132" s="120"/>
      <c r="G132" s="52">
        <v>1</v>
      </c>
      <c r="H132" s="65" t="s">
        <v>467</v>
      </c>
      <c r="I132" s="52" t="s">
        <v>614</v>
      </c>
      <c r="J132" s="52" t="s">
        <v>614</v>
      </c>
      <c r="K132" s="65"/>
      <c r="L132" s="65"/>
      <c r="M132" s="49"/>
      <c r="N132" s="49"/>
      <c r="O132" s="49"/>
      <c r="P132" s="49"/>
      <c r="Q132" s="49"/>
      <c r="R132" s="49"/>
      <c r="S132" s="49"/>
      <c r="T132" s="65"/>
      <c r="U132" s="51"/>
      <c r="V132" s="51"/>
      <c r="W132" s="51"/>
      <c r="X132" s="51"/>
      <c r="Y132" s="51"/>
      <c r="Z132" s="51"/>
      <c r="AA132" s="55"/>
      <c r="AB132" s="51"/>
      <c r="AC132" s="51"/>
      <c r="AD132" s="65"/>
      <c r="AE132" s="65"/>
      <c r="AF132" s="51"/>
      <c r="AG132" s="51"/>
    </row>
    <row r="133" spans="1:33" ht="21" customHeight="1">
      <c r="A133" s="52" t="s">
        <v>371</v>
      </c>
      <c r="B133" s="52" t="s">
        <v>372</v>
      </c>
      <c r="C133" s="66" t="s">
        <v>628</v>
      </c>
      <c r="D133" s="125" t="s">
        <v>365</v>
      </c>
      <c r="E133" s="125" t="s">
        <v>366</v>
      </c>
      <c r="F133" s="120"/>
      <c r="G133" s="52">
        <v>5</v>
      </c>
      <c r="H133" s="65" t="s">
        <v>467</v>
      </c>
      <c r="I133" s="52" t="s">
        <v>587</v>
      </c>
      <c r="J133" s="52" t="s">
        <v>592</v>
      </c>
      <c r="K133" s="65"/>
      <c r="L133" s="65"/>
      <c r="M133" s="49"/>
      <c r="N133" s="49"/>
      <c r="O133" s="49"/>
      <c r="P133" s="49"/>
      <c r="Q133" s="49"/>
      <c r="R133" s="49"/>
      <c r="S133" s="49"/>
      <c r="T133" s="65"/>
      <c r="U133" s="51"/>
      <c r="V133" s="51"/>
      <c r="W133" s="51"/>
      <c r="X133" s="51"/>
      <c r="Y133" s="51"/>
      <c r="Z133" s="51"/>
      <c r="AA133" s="55"/>
      <c r="AB133" s="51"/>
      <c r="AC133" s="51"/>
      <c r="AD133" s="65"/>
      <c r="AE133" s="65"/>
      <c r="AF133" s="51"/>
      <c r="AG133" s="51"/>
    </row>
    <row r="134" spans="1:33" ht="21" customHeight="1">
      <c r="A134" s="52" t="s">
        <v>371</v>
      </c>
      <c r="B134" s="52" t="s">
        <v>372</v>
      </c>
      <c r="C134" s="66" t="s">
        <v>628</v>
      </c>
      <c r="D134" s="125" t="s">
        <v>367</v>
      </c>
      <c r="E134" s="125" t="s">
        <v>368</v>
      </c>
      <c r="F134" s="120"/>
      <c r="G134" s="52">
        <v>3</v>
      </c>
      <c r="H134" s="65" t="s">
        <v>467</v>
      </c>
      <c r="I134" s="52" t="s">
        <v>593</v>
      </c>
      <c r="J134" s="52" t="s">
        <v>595</v>
      </c>
      <c r="K134" s="65"/>
      <c r="L134" s="65"/>
      <c r="M134" s="49"/>
      <c r="N134" s="49"/>
      <c r="O134" s="49"/>
      <c r="P134" s="49"/>
      <c r="Q134" s="49"/>
      <c r="R134" s="49"/>
      <c r="S134" s="49"/>
      <c r="T134" s="65"/>
      <c r="U134" s="51"/>
      <c r="V134" s="51"/>
      <c r="W134" s="51"/>
      <c r="X134" s="51"/>
      <c r="Y134" s="51"/>
      <c r="Z134" s="51"/>
      <c r="AA134" s="55"/>
      <c r="AB134" s="51"/>
      <c r="AC134" s="51"/>
      <c r="AD134" s="65"/>
      <c r="AE134" s="65"/>
      <c r="AF134" s="51"/>
      <c r="AG134" s="51"/>
    </row>
    <row r="135" spans="1:33" ht="21" customHeight="1">
      <c r="A135" s="52" t="s">
        <v>371</v>
      </c>
      <c r="B135" s="52" t="s">
        <v>372</v>
      </c>
      <c r="C135" s="156" t="s">
        <v>629</v>
      </c>
      <c r="D135" s="127" t="s">
        <v>369</v>
      </c>
      <c r="E135" s="127" t="s">
        <v>370</v>
      </c>
      <c r="F135" s="120"/>
      <c r="G135" s="113">
        <v>1</v>
      </c>
      <c r="H135" s="65" t="s">
        <v>621</v>
      </c>
      <c r="I135" s="65" t="s">
        <v>617</v>
      </c>
      <c r="J135" s="65" t="s">
        <v>617</v>
      </c>
      <c r="K135" s="65"/>
      <c r="L135" s="65"/>
      <c r="M135" s="49"/>
      <c r="N135" s="49"/>
      <c r="O135" s="49"/>
      <c r="P135" s="49"/>
      <c r="Q135" s="49"/>
      <c r="R135" s="49"/>
      <c r="S135" s="49"/>
      <c r="T135" s="65"/>
      <c r="U135" s="51"/>
      <c r="V135" s="51"/>
      <c r="W135" s="51"/>
      <c r="X135" s="51"/>
      <c r="Y135" s="51"/>
      <c r="Z135" s="51"/>
      <c r="AA135" s="55"/>
      <c r="AB135" s="51"/>
      <c r="AC135" s="51"/>
      <c r="AD135" s="65"/>
      <c r="AE135" s="65"/>
      <c r="AF135" s="51"/>
      <c r="AG135" s="51"/>
    </row>
    <row r="136" spans="1:33" ht="21" customHeight="1">
      <c r="A136" s="52" t="s">
        <v>420</v>
      </c>
      <c r="B136" s="52" t="s">
        <v>421</v>
      </c>
      <c r="C136" s="66" t="s">
        <v>628</v>
      </c>
      <c r="D136" s="125" t="s">
        <v>396</v>
      </c>
      <c r="E136" s="125" t="s">
        <v>397</v>
      </c>
      <c r="F136" s="120"/>
      <c r="G136" s="52"/>
      <c r="H136" s="65" t="s">
        <v>468</v>
      </c>
      <c r="I136" s="65" t="s">
        <v>617</v>
      </c>
      <c r="J136" s="65" t="s">
        <v>617</v>
      </c>
      <c r="K136" s="65"/>
      <c r="L136" s="65"/>
      <c r="M136" s="49"/>
      <c r="N136" s="49"/>
      <c r="O136" s="49"/>
      <c r="P136" s="49"/>
      <c r="Q136" s="49"/>
      <c r="R136" s="49"/>
      <c r="S136" s="49"/>
      <c r="T136" s="65"/>
      <c r="U136" s="51"/>
      <c r="V136" s="51"/>
      <c r="W136" s="51"/>
      <c r="X136" s="51"/>
      <c r="Y136" s="51"/>
      <c r="Z136" s="51"/>
      <c r="AA136" s="55"/>
      <c r="AB136" s="51"/>
      <c r="AC136" s="51"/>
      <c r="AD136" s="65"/>
      <c r="AE136" s="65"/>
      <c r="AF136" s="51"/>
      <c r="AG136" s="51"/>
    </row>
    <row r="137" spans="1:33" ht="21" customHeight="1">
      <c r="A137" s="52" t="s">
        <v>420</v>
      </c>
      <c r="B137" s="52" t="s">
        <v>421</v>
      </c>
      <c r="C137" s="66" t="s">
        <v>628</v>
      </c>
      <c r="D137" s="125" t="s">
        <v>398</v>
      </c>
      <c r="E137" s="125" t="s">
        <v>399</v>
      </c>
      <c r="F137" s="120"/>
      <c r="G137" s="52"/>
      <c r="H137" s="65" t="s">
        <v>468</v>
      </c>
      <c r="I137" s="65" t="s">
        <v>617</v>
      </c>
      <c r="J137" s="65" t="s">
        <v>617</v>
      </c>
      <c r="K137" s="65"/>
      <c r="L137" s="65"/>
      <c r="M137" s="49"/>
      <c r="N137" s="49"/>
      <c r="O137" s="49"/>
      <c r="P137" s="49"/>
      <c r="Q137" s="49"/>
      <c r="R137" s="49"/>
      <c r="S137" s="49"/>
      <c r="T137" s="65"/>
      <c r="U137" s="51"/>
      <c r="V137" s="51"/>
      <c r="W137" s="51"/>
      <c r="X137" s="51"/>
      <c r="Y137" s="51"/>
      <c r="Z137" s="51"/>
      <c r="AA137" s="55"/>
      <c r="AB137" s="51"/>
      <c r="AC137" s="51"/>
      <c r="AD137" s="65"/>
      <c r="AE137" s="65"/>
      <c r="AF137" s="51"/>
      <c r="AG137" s="51"/>
    </row>
    <row r="138" spans="1:33" ht="21" customHeight="1">
      <c r="A138" s="52" t="s">
        <v>420</v>
      </c>
      <c r="B138" s="52" t="s">
        <v>422</v>
      </c>
      <c r="C138" s="66" t="s">
        <v>628</v>
      </c>
      <c r="D138" s="125" t="s">
        <v>400</v>
      </c>
      <c r="E138" s="125" t="s">
        <v>227</v>
      </c>
      <c r="F138" s="120"/>
      <c r="G138" s="52"/>
      <c r="H138" s="65" t="s">
        <v>468</v>
      </c>
      <c r="I138" s="65" t="s">
        <v>617</v>
      </c>
      <c r="J138" s="65" t="s">
        <v>617</v>
      </c>
      <c r="K138" s="65"/>
      <c r="L138" s="65"/>
      <c r="M138" s="49"/>
      <c r="N138" s="49"/>
      <c r="O138" s="49"/>
      <c r="P138" s="49"/>
      <c r="Q138" s="49"/>
      <c r="R138" s="49"/>
      <c r="S138" s="49"/>
      <c r="T138" s="65"/>
      <c r="U138" s="51"/>
      <c r="V138" s="51"/>
      <c r="W138" s="51"/>
      <c r="X138" s="51"/>
      <c r="Y138" s="51"/>
      <c r="Z138" s="51"/>
      <c r="AA138" s="55"/>
      <c r="AB138" s="51"/>
      <c r="AC138" s="51"/>
      <c r="AD138" s="65"/>
      <c r="AE138" s="65"/>
      <c r="AF138" s="51"/>
      <c r="AG138" s="51"/>
    </row>
    <row r="139" spans="1:33" ht="21" customHeight="1">
      <c r="A139" s="52" t="s">
        <v>420</v>
      </c>
      <c r="B139" s="52" t="s">
        <v>422</v>
      </c>
      <c r="C139" s="66" t="s">
        <v>628</v>
      </c>
      <c r="D139" s="125" t="s">
        <v>401</v>
      </c>
      <c r="E139" s="125" t="s">
        <v>232</v>
      </c>
      <c r="F139" s="120"/>
      <c r="G139" s="52"/>
      <c r="H139" s="65" t="s">
        <v>468</v>
      </c>
      <c r="I139" s="65" t="s">
        <v>617</v>
      </c>
      <c r="J139" s="65" t="s">
        <v>617</v>
      </c>
      <c r="K139" s="65"/>
      <c r="L139" s="65"/>
      <c r="M139" s="49"/>
      <c r="N139" s="49"/>
      <c r="O139" s="49"/>
      <c r="P139" s="49"/>
      <c r="Q139" s="49"/>
      <c r="R139" s="49"/>
      <c r="S139" s="49"/>
      <c r="T139" s="65"/>
      <c r="U139" s="51"/>
      <c r="V139" s="51"/>
      <c r="W139" s="51"/>
      <c r="X139" s="51"/>
      <c r="Y139" s="51"/>
      <c r="Z139" s="51"/>
      <c r="AA139" s="55"/>
      <c r="AB139" s="51"/>
      <c r="AC139" s="51"/>
      <c r="AD139" s="65"/>
      <c r="AE139" s="65"/>
      <c r="AF139" s="51"/>
      <c r="AG139" s="51"/>
    </row>
    <row r="140" spans="1:33" ht="21" customHeight="1">
      <c r="A140" s="52" t="s">
        <v>420</v>
      </c>
      <c r="B140" s="52" t="s">
        <v>423</v>
      </c>
      <c r="C140" s="66" t="s">
        <v>628</v>
      </c>
      <c r="D140" s="125" t="s">
        <v>402</v>
      </c>
      <c r="E140" s="125" t="s">
        <v>403</v>
      </c>
      <c r="F140" s="120"/>
      <c r="G140" s="52"/>
      <c r="H140" s="65" t="s">
        <v>468</v>
      </c>
      <c r="I140" s="65" t="s">
        <v>617</v>
      </c>
      <c r="J140" s="65" t="s">
        <v>617</v>
      </c>
      <c r="K140" s="65"/>
      <c r="L140" s="65"/>
      <c r="M140" s="49"/>
      <c r="N140" s="49"/>
      <c r="O140" s="49"/>
      <c r="P140" s="49"/>
      <c r="Q140" s="49"/>
      <c r="R140" s="49"/>
      <c r="S140" s="49"/>
      <c r="T140" s="65"/>
      <c r="U140" s="51"/>
      <c r="V140" s="51"/>
      <c r="W140" s="51"/>
      <c r="X140" s="51"/>
      <c r="Y140" s="51"/>
      <c r="Z140" s="51"/>
      <c r="AA140" s="55"/>
      <c r="AB140" s="51"/>
      <c r="AC140" s="51"/>
      <c r="AD140" s="65"/>
      <c r="AE140" s="65"/>
      <c r="AF140" s="51"/>
      <c r="AG140" s="51"/>
    </row>
    <row r="141" spans="1:33" ht="21" customHeight="1">
      <c r="A141" s="52" t="s">
        <v>420</v>
      </c>
      <c r="B141" s="52" t="s">
        <v>423</v>
      </c>
      <c r="C141" s="66" t="s">
        <v>628</v>
      </c>
      <c r="D141" s="125" t="s">
        <v>404</v>
      </c>
      <c r="E141" s="125" t="s">
        <v>405</v>
      </c>
      <c r="F141" s="120"/>
      <c r="G141" s="52"/>
      <c r="H141" s="65" t="s">
        <v>468</v>
      </c>
      <c r="I141" s="65" t="s">
        <v>617</v>
      </c>
      <c r="J141" s="65" t="s">
        <v>617</v>
      </c>
      <c r="K141" s="65"/>
      <c r="L141" s="65"/>
      <c r="M141" s="49"/>
      <c r="N141" s="49"/>
      <c r="O141" s="49"/>
      <c r="P141" s="49"/>
      <c r="Q141" s="49"/>
      <c r="R141" s="49"/>
      <c r="S141" s="49"/>
      <c r="T141" s="65"/>
      <c r="U141" s="51"/>
      <c r="V141" s="51"/>
      <c r="W141" s="51"/>
      <c r="X141" s="51"/>
      <c r="Y141" s="51"/>
      <c r="Z141" s="51"/>
      <c r="AA141" s="55"/>
      <c r="AB141" s="51"/>
      <c r="AC141" s="51"/>
      <c r="AD141" s="65"/>
      <c r="AE141" s="65"/>
      <c r="AF141" s="51"/>
      <c r="AG141" s="51"/>
    </row>
    <row r="142" spans="1:33" ht="21" customHeight="1">
      <c r="A142" s="52" t="s">
        <v>420</v>
      </c>
      <c r="B142" s="52" t="s">
        <v>423</v>
      </c>
      <c r="C142" s="66" t="s">
        <v>628</v>
      </c>
      <c r="D142" s="125" t="s">
        <v>406</v>
      </c>
      <c r="E142" s="125" t="s">
        <v>407</v>
      </c>
      <c r="F142" s="120"/>
      <c r="G142" s="52"/>
      <c r="H142" s="65" t="s">
        <v>468</v>
      </c>
      <c r="I142" s="65" t="s">
        <v>617</v>
      </c>
      <c r="J142" s="65" t="s">
        <v>617</v>
      </c>
      <c r="K142" s="65"/>
      <c r="L142" s="65"/>
      <c r="M142" s="49"/>
      <c r="N142" s="49"/>
      <c r="O142" s="49"/>
      <c r="P142" s="49"/>
      <c r="Q142" s="49"/>
      <c r="R142" s="49"/>
      <c r="S142" s="49"/>
      <c r="T142" s="65"/>
      <c r="U142" s="51"/>
      <c r="V142" s="51"/>
      <c r="W142" s="51"/>
      <c r="X142" s="51"/>
      <c r="Y142" s="51"/>
      <c r="Z142" s="51"/>
      <c r="AA142" s="55"/>
      <c r="AB142" s="51"/>
      <c r="AC142" s="51"/>
      <c r="AD142" s="65"/>
      <c r="AE142" s="65"/>
      <c r="AF142" s="51"/>
      <c r="AG142" s="51"/>
    </row>
    <row r="143" spans="1:33" ht="21" customHeight="1">
      <c r="A143" s="52" t="s">
        <v>420</v>
      </c>
      <c r="B143" s="52" t="s">
        <v>423</v>
      </c>
      <c r="C143" s="66" t="s">
        <v>628</v>
      </c>
      <c r="D143" s="125" t="s">
        <v>408</v>
      </c>
      <c r="E143" s="125" t="s">
        <v>409</v>
      </c>
      <c r="F143" s="120"/>
      <c r="G143" s="52"/>
      <c r="H143" s="65" t="s">
        <v>468</v>
      </c>
      <c r="I143" s="65" t="s">
        <v>617</v>
      </c>
      <c r="J143" s="65" t="s">
        <v>617</v>
      </c>
      <c r="K143" s="65"/>
      <c r="L143" s="65"/>
      <c r="M143" s="49"/>
      <c r="N143" s="49"/>
      <c r="O143" s="49"/>
      <c r="P143" s="49"/>
      <c r="Q143" s="49"/>
      <c r="R143" s="49"/>
      <c r="S143" s="49"/>
      <c r="T143" s="65"/>
      <c r="U143" s="51"/>
      <c r="V143" s="51"/>
      <c r="W143" s="51"/>
      <c r="X143" s="51"/>
      <c r="Y143" s="51"/>
      <c r="Z143" s="51"/>
      <c r="AA143" s="55"/>
      <c r="AB143" s="51"/>
      <c r="AC143" s="51"/>
      <c r="AD143" s="65"/>
      <c r="AE143" s="65"/>
      <c r="AF143" s="51"/>
      <c r="AG143" s="51"/>
    </row>
    <row r="144" spans="1:33" ht="21" customHeight="1">
      <c r="A144" s="52" t="s">
        <v>420</v>
      </c>
      <c r="B144" s="52" t="s">
        <v>423</v>
      </c>
      <c r="C144" s="66" t="s">
        <v>628</v>
      </c>
      <c r="D144" s="125" t="s">
        <v>410</v>
      </c>
      <c r="E144" s="125" t="s">
        <v>411</v>
      </c>
      <c r="F144" s="120"/>
      <c r="G144" s="52"/>
      <c r="H144" s="65" t="s">
        <v>468</v>
      </c>
      <c r="I144" s="65" t="s">
        <v>617</v>
      </c>
      <c r="J144" s="65" t="s">
        <v>617</v>
      </c>
      <c r="K144" s="65"/>
      <c r="L144" s="65"/>
      <c r="M144" s="49"/>
      <c r="N144" s="49"/>
      <c r="O144" s="49"/>
      <c r="P144" s="49"/>
      <c r="Q144" s="49"/>
      <c r="R144" s="49"/>
      <c r="S144" s="49"/>
      <c r="T144" s="65"/>
      <c r="U144" s="51"/>
      <c r="V144" s="51"/>
      <c r="W144" s="51"/>
      <c r="X144" s="51"/>
      <c r="Y144" s="51"/>
      <c r="Z144" s="51"/>
      <c r="AA144" s="55"/>
      <c r="AB144" s="51"/>
      <c r="AC144" s="51"/>
      <c r="AD144" s="65"/>
      <c r="AE144" s="65"/>
      <c r="AF144" s="51"/>
      <c r="AG144" s="51"/>
    </row>
    <row r="145" spans="1:33" ht="21" customHeight="1">
      <c r="A145" s="52" t="s">
        <v>420</v>
      </c>
      <c r="B145" s="52" t="s">
        <v>423</v>
      </c>
      <c r="C145" s="66" t="s">
        <v>628</v>
      </c>
      <c r="D145" s="125" t="s">
        <v>412</v>
      </c>
      <c r="E145" s="125" t="s">
        <v>413</v>
      </c>
      <c r="F145" s="120"/>
      <c r="G145" s="52"/>
      <c r="H145" s="65" t="s">
        <v>468</v>
      </c>
      <c r="I145" s="65" t="s">
        <v>617</v>
      </c>
      <c r="J145" s="65" t="s">
        <v>617</v>
      </c>
      <c r="K145" s="65"/>
      <c r="L145" s="65"/>
      <c r="M145" s="49"/>
      <c r="N145" s="49"/>
      <c r="O145" s="49"/>
      <c r="P145" s="49"/>
      <c r="Q145" s="49"/>
      <c r="R145" s="49"/>
      <c r="S145" s="49"/>
      <c r="T145" s="65"/>
      <c r="U145" s="51"/>
      <c r="V145" s="51"/>
      <c r="W145" s="51"/>
      <c r="X145" s="51"/>
      <c r="Y145" s="51"/>
      <c r="Z145" s="51"/>
      <c r="AA145" s="55"/>
      <c r="AB145" s="51"/>
      <c r="AC145" s="51"/>
      <c r="AD145" s="65"/>
      <c r="AE145" s="65"/>
      <c r="AF145" s="51"/>
      <c r="AG145" s="51"/>
    </row>
    <row r="146" spans="1:33" ht="21" customHeight="1">
      <c r="A146" s="52" t="s">
        <v>420</v>
      </c>
      <c r="B146" s="52" t="s">
        <v>424</v>
      </c>
      <c r="C146" s="66" t="s">
        <v>628</v>
      </c>
      <c r="D146" s="125" t="s">
        <v>414</v>
      </c>
      <c r="E146" s="125" t="s">
        <v>415</v>
      </c>
      <c r="F146" s="120"/>
      <c r="G146" s="52"/>
      <c r="H146" s="65" t="s">
        <v>468</v>
      </c>
      <c r="I146" s="65" t="s">
        <v>617</v>
      </c>
      <c r="J146" s="65" t="s">
        <v>617</v>
      </c>
      <c r="K146" s="65"/>
      <c r="L146" s="65"/>
      <c r="M146" s="49"/>
      <c r="N146" s="49"/>
      <c r="O146" s="49"/>
      <c r="P146" s="49"/>
      <c r="Q146" s="49"/>
      <c r="R146" s="49"/>
      <c r="S146" s="49"/>
      <c r="T146" s="65"/>
      <c r="U146" s="51"/>
      <c r="V146" s="51"/>
      <c r="W146" s="51"/>
      <c r="X146" s="51"/>
      <c r="Y146" s="51"/>
      <c r="Z146" s="51"/>
      <c r="AA146" s="55"/>
      <c r="AB146" s="51"/>
      <c r="AC146" s="51"/>
      <c r="AD146" s="65"/>
      <c r="AE146" s="65"/>
      <c r="AF146" s="51"/>
      <c r="AG146" s="51"/>
    </row>
    <row r="147" spans="1:33" ht="21" customHeight="1">
      <c r="A147" s="52" t="s">
        <v>420</v>
      </c>
      <c r="B147" s="52" t="s">
        <v>424</v>
      </c>
      <c r="C147" s="66" t="s">
        <v>628</v>
      </c>
      <c r="D147" s="125" t="s">
        <v>416</v>
      </c>
      <c r="E147" s="125" t="s">
        <v>417</v>
      </c>
      <c r="F147" s="120"/>
      <c r="G147" s="52"/>
      <c r="H147" s="65" t="s">
        <v>468</v>
      </c>
      <c r="I147" s="65" t="s">
        <v>617</v>
      </c>
      <c r="J147" s="65" t="s">
        <v>617</v>
      </c>
      <c r="K147" s="65"/>
      <c r="L147" s="65"/>
      <c r="M147" s="49"/>
      <c r="N147" s="49"/>
      <c r="O147" s="49"/>
      <c r="P147" s="49"/>
      <c r="Q147" s="49"/>
      <c r="R147" s="49"/>
      <c r="S147" s="49"/>
      <c r="T147" s="65"/>
      <c r="U147" s="51"/>
      <c r="V147" s="51"/>
      <c r="W147" s="51"/>
      <c r="X147" s="51"/>
      <c r="Y147" s="51"/>
      <c r="Z147" s="51"/>
      <c r="AA147" s="55"/>
      <c r="AB147" s="51"/>
      <c r="AC147" s="51"/>
      <c r="AD147" s="65"/>
      <c r="AE147" s="65"/>
      <c r="AF147" s="51"/>
      <c r="AG147" s="51"/>
    </row>
    <row r="148" spans="1:33" ht="21" customHeight="1">
      <c r="A148" s="52" t="s">
        <v>420</v>
      </c>
      <c r="B148" s="52" t="s">
        <v>424</v>
      </c>
      <c r="C148" s="66" t="s">
        <v>628</v>
      </c>
      <c r="D148" s="125" t="s">
        <v>418</v>
      </c>
      <c r="E148" s="125" t="s">
        <v>419</v>
      </c>
      <c r="F148" s="120"/>
      <c r="G148" s="52"/>
      <c r="H148" s="65" t="s">
        <v>468</v>
      </c>
      <c r="I148" s="65" t="s">
        <v>617</v>
      </c>
      <c r="J148" s="65" t="s">
        <v>617</v>
      </c>
      <c r="K148" s="65"/>
      <c r="L148" s="65"/>
      <c r="M148" s="49"/>
      <c r="N148" s="49"/>
      <c r="O148" s="49"/>
      <c r="P148" s="49"/>
      <c r="Q148" s="49"/>
      <c r="R148" s="49"/>
      <c r="S148" s="49"/>
      <c r="T148" s="65"/>
      <c r="U148" s="51"/>
      <c r="V148" s="51"/>
      <c r="W148" s="51"/>
      <c r="X148" s="51"/>
      <c r="Y148" s="51"/>
      <c r="Z148" s="51"/>
      <c r="AA148" s="55"/>
      <c r="AB148" s="51"/>
      <c r="AC148" s="51"/>
      <c r="AD148" s="65"/>
      <c r="AE148" s="65"/>
      <c r="AF148" s="51"/>
      <c r="AG148" s="51"/>
    </row>
    <row r="149" spans="1:33" ht="21" customHeight="1">
      <c r="A149" s="52"/>
      <c r="B149" s="52"/>
      <c r="C149" s="156"/>
      <c r="D149" s="123"/>
      <c r="E149" s="123"/>
      <c r="F149" s="120"/>
      <c r="G149" s="52"/>
      <c r="H149" s="65"/>
      <c r="I149" s="65"/>
      <c r="J149" s="65"/>
      <c r="K149" s="65"/>
      <c r="L149" s="65"/>
      <c r="M149" s="49"/>
      <c r="N149" s="49"/>
      <c r="O149" s="49"/>
      <c r="P149" s="49"/>
      <c r="Q149" s="49"/>
      <c r="R149" s="49"/>
      <c r="S149" s="49"/>
      <c r="T149" s="65"/>
      <c r="U149" s="51"/>
      <c r="V149" s="51"/>
      <c r="W149" s="51"/>
      <c r="X149" s="51"/>
      <c r="Y149" s="51"/>
      <c r="Z149" s="51"/>
      <c r="AA149" s="55"/>
      <c r="AB149" s="51"/>
      <c r="AC149" s="51"/>
      <c r="AD149" s="65"/>
      <c r="AE149" s="65"/>
      <c r="AF149" s="51"/>
      <c r="AG149" s="51"/>
    </row>
    <row r="150" spans="1:33" ht="21" customHeight="1">
      <c r="A150" s="52"/>
      <c r="B150" s="52"/>
      <c r="C150" s="52"/>
      <c r="D150" s="121"/>
      <c r="E150" s="122"/>
      <c r="F150" s="48"/>
      <c r="G150" s="52"/>
      <c r="H150" s="65"/>
      <c r="I150" s="65"/>
      <c r="J150" s="65"/>
      <c r="K150" s="65"/>
      <c r="L150" s="65"/>
      <c r="M150" s="49"/>
      <c r="N150" s="49"/>
      <c r="O150" s="49"/>
      <c r="P150" s="49"/>
      <c r="Q150" s="49"/>
      <c r="R150" s="49"/>
      <c r="S150" s="49"/>
      <c r="T150" s="65"/>
      <c r="U150" s="51"/>
      <c r="V150" s="51"/>
      <c r="W150" s="51"/>
      <c r="X150" s="51"/>
      <c r="Y150" s="51"/>
      <c r="Z150" s="51"/>
      <c r="AA150" s="55"/>
      <c r="AB150" s="51"/>
      <c r="AC150" s="51"/>
      <c r="AD150" s="65"/>
      <c r="AE150" s="65"/>
      <c r="AF150" s="51"/>
      <c r="AG150" s="51"/>
    </row>
    <row r="151" spans="1:33" ht="21" customHeight="1">
      <c r="A151" s="66"/>
      <c r="B151" s="66"/>
      <c r="C151" s="66"/>
      <c r="D151" s="62"/>
      <c r="E151" s="63"/>
      <c r="F151" s="53"/>
      <c r="G151" s="66"/>
      <c r="H151" s="65"/>
      <c r="I151" s="65"/>
      <c r="J151" s="65"/>
      <c r="K151" s="65"/>
      <c r="L151" s="65"/>
      <c r="M151" s="49"/>
      <c r="N151" s="49"/>
      <c r="O151" s="49"/>
      <c r="P151" s="49"/>
      <c r="Q151" s="49"/>
      <c r="R151" s="49"/>
      <c r="S151" s="49"/>
      <c r="T151" s="65"/>
      <c r="U151" s="51"/>
      <c r="V151" s="51"/>
      <c r="W151" s="51"/>
      <c r="X151" s="51"/>
      <c r="Y151" s="51"/>
      <c r="Z151" s="51"/>
      <c r="AA151" s="55"/>
      <c r="AB151" s="51"/>
      <c r="AC151" s="51"/>
      <c r="AD151" s="65"/>
      <c r="AE151" s="65"/>
      <c r="AF151" s="51"/>
      <c r="AG151" s="51"/>
    </row>
    <row r="152" spans="1:33" ht="21" customHeight="1">
      <c r="A152" s="66"/>
      <c r="B152" s="66"/>
      <c r="C152" s="66"/>
      <c r="D152" s="64"/>
      <c r="E152" s="63"/>
      <c r="F152" s="53"/>
      <c r="G152" s="66"/>
      <c r="H152" s="65"/>
      <c r="I152" s="65"/>
      <c r="J152" s="65"/>
      <c r="K152" s="65"/>
      <c r="L152" s="65"/>
      <c r="M152" s="49"/>
      <c r="N152" s="49"/>
      <c r="O152" s="49"/>
      <c r="P152" s="49"/>
      <c r="Q152" s="49"/>
      <c r="R152" s="49"/>
      <c r="S152" s="49"/>
      <c r="T152" s="65"/>
      <c r="U152" s="51"/>
      <c r="V152" s="51"/>
      <c r="W152" s="51"/>
      <c r="X152" s="51"/>
      <c r="Y152" s="51"/>
      <c r="Z152" s="51"/>
      <c r="AA152" s="55"/>
      <c r="AB152" s="51"/>
      <c r="AC152" s="51"/>
      <c r="AD152" s="65"/>
      <c r="AE152" s="65"/>
      <c r="AF152" s="51"/>
      <c r="AG152" s="51"/>
    </row>
  </sheetData>
  <autoFilter ref="A5:AG152"/>
  <customSheetViews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17">
    <mergeCell ref="F4:F5"/>
    <mergeCell ref="AD2:AG2"/>
    <mergeCell ref="AD1:AG1"/>
    <mergeCell ref="AA4:AG4"/>
    <mergeCell ref="A4:C4"/>
    <mergeCell ref="AB1:AC1"/>
    <mergeCell ref="AB2:AC2"/>
    <mergeCell ref="A1:C1"/>
    <mergeCell ref="A2:C2"/>
    <mergeCell ref="H4:L4"/>
    <mergeCell ref="E4:E5"/>
    <mergeCell ref="D4:D5"/>
    <mergeCell ref="D1:AA1"/>
    <mergeCell ref="D2:AA2"/>
    <mergeCell ref="T4:Z4"/>
    <mergeCell ref="G4:G5"/>
    <mergeCell ref="M4:S4"/>
  </mergeCells>
  <phoneticPr fontId="22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G14" sqref="G14"/>
    </sheetView>
  </sheetViews>
  <sheetFormatPr defaultRowHeight="13.5"/>
  <cols>
    <col min="3" max="3" width="4.77734375" customWidth="1"/>
    <col min="4" max="4" width="9.109375" customWidth="1"/>
    <col min="9" max="9" width="8.21875" bestFit="1" customWidth="1"/>
    <col min="10" max="10" width="10.5546875" customWidth="1"/>
    <col min="11" max="11" width="34.777343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27">
      <c r="I5" s="95" t="s">
        <v>89</v>
      </c>
      <c r="J5" s="96" t="s">
        <v>90</v>
      </c>
      <c r="K5" s="95" t="s">
        <v>101</v>
      </c>
    </row>
    <row r="6" spans="1:11" ht="18" customHeight="1">
      <c r="I6" s="214" t="s">
        <v>91</v>
      </c>
      <c r="J6" s="93" t="s">
        <v>94</v>
      </c>
      <c r="K6" s="94" t="s">
        <v>98</v>
      </c>
    </row>
    <row r="7" spans="1:11" ht="18" customHeight="1">
      <c r="I7" s="214"/>
      <c r="J7" s="93" t="s">
        <v>95</v>
      </c>
      <c r="K7" s="94" t="s">
        <v>99</v>
      </c>
    </row>
    <row r="8" spans="1:11" ht="18" customHeight="1">
      <c r="I8" s="93" t="s">
        <v>92</v>
      </c>
      <c r="J8" s="93" t="s">
        <v>95</v>
      </c>
      <c r="K8" s="94" t="s">
        <v>100</v>
      </c>
    </row>
    <row r="9" spans="1:11" ht="18" customHeight="1">
      <c r="I9" s="93" t="s">
        <v>93</v>
      </c>
      <c r="J9" s="93" t="s">
        <v>96</v>
      </c>
      <c r="K9" s="94" t="s">
        <v>97</v>
      </c>
    </row>
    <row r="10" spans="1:11" ht="18" customHeight="1">
      <c r="I10" s="93" t="s">
        <v>102</v>
      </c>
      <c r="J10" s="93" t="s">
        <v>95</v>
      </c>
      <c r="K10" s="94" t="s">
        <v>103</v>
      </c>
    </row>
    <row r="15" spans="1:11">
      <c r="B15" s="91"/>
      <c r="C15" s="92"/>
    </row>
    <row r="24" spans="7:7">
      <c r="G24" s="37"/>
    </row>
  </sheetData>
  <customSheetViews>
    <customSheetView guid="{83D121E0-7FB9-4CC4-AFCC-E3415F981E88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547BC5B2-EA04-40A3-8A00-B318763FAD5F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2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F24" sqref="F24"/>
    </sheetView>
  </sheetViews>
  <sheetFormatPr defaultRowHeight="13.5"/>
  <cols>
    <col min="1" max="1" width="8.88671875" style="91"/>
    <col min="2" max="2" width="9.77734375" style="91" bestFit="1" customWidth="1"/>
    <col min="3" max="8" width="8.88671875" style="91"/>
    <col min="9" max="10" width="10" style="91" customWidth="1"/>
    <col min="11" max="16384" width="8.88671875" style="91"/>
  </cols>
  <sheetData>
    <row r="1" spans="1:10">
      <c r="A1" s="132"/>
      <c r="B1" s="132"/>
      <c r="C1" s="132" t="s">
        <v>480</v>
      </c>
      <c r="D1" s="132" t="s">
        <v>618</v>
      </c>
      <c r="E1" s="132" t="s">
        <v>481</v>
      </c>
      <c r="F1" s="132" t="s">
        <v>482</v>
      </c>
      <c r="G1" s="132" t="s">
        <v>483</v>
      </c>
      <c r="H1" s="132" t="s">
        <v>523</v>
      </c>
      <c r="I1" s="132" t="s">
        <v>484</v>
      </c>
      <c r="J1" s="132" t="s">
        <v>485</v>
      </c>
    </row>
    <row r="2" spans="1:10">
      <c r="A2" s="94" t="s">
        <v>486</v>
      </c>
      <c r="B2" s="94" t="s">
        <v>487</v>
      </c>
      <c r="C2" s="94">
        <v>20</v>
      </c>
      <c r="D2" s="94">
        <v>15</v>
      </c>
      <c r="E2" s="94">
        <v>2</v>
      </c>
      <c r="F2" s="94">
        <v>3</v>
      </c>
      <c r="G2" s="94"/>
      <c r="H2" s="134"/>
      <c r="I2" s="216" t="s">
        <v>488</v>
      </c>
      <c r="J2" s="217"/>
    </row>
    <row r="3" spans="1:10">
      <c r="A3" s="94" t="s">
        <v>489</v>
      </c>
      <c r="B3" s="94" t="s">
        <v>490</v>
      </c>
      <c r="C3" s="94">
        <v>16</v>
      </c>
      <c r="D3" s="94">
        <v>7</v>
      </c>
      <c r="E3" s="94"/>
      <c r="F3" s="94">
        <v>2</v>
      </c>
      <c r="G3" s="94">
        <v>4</v>
      </c>
      <c r="H3" s="94">
        <v>3</v>
      </c>
      <c r="I3" s="94" t="s">
        <v>491</v>
      </c>
      <c r="J3" s="94" t="s">
        <v>492</v>
      </c>
    </row>
    <row r="4" spans="1:10">
      <c r="A4" s="94" t="s">
        <v>493</v>
      </c>
      <c r="B4" s="94" t="s">
        <v>494</v>
      </c>
      <c r="C4" s="94">
        <v>24</v>
      </c>
      <c r="D4" s="94">
        <v>10</v>
      </c>
      <c r="E4" s="94"/>
      <c r="F4" s="94">
        <v>3</v>
      </c>
      <c r="G4" s="94">
        <v>7</v>
      </c>
      <c r="H4" s="94">
        <v>4</v>
      </c>
      <c r="I4" s="94" t="s">
        <v>491</v>
      </c>
      <c r="J4" s="94" t="s">
        <v>495</v>
      </c>
    </row>
    <row r="5" spans="1:10">
      <c r="A5" s="94" t="s">
        <v>496</v>
      </c>
      <c r="B5" s="94" t="s">
        <v>497</v>
      </c>
      <c r="C5" s="94">
        <v>5</v>
      </c>
      <c r="D5" s="94">
        <v>3</v>
      </c>
      <c r="E5" s="94"/>
      <c r="F5" s="94">
        <v>1</v>
      </c>
      <c r="G5" s="94"/>
      <c r="H5" s="134">
        <v>1</v>
      </c>
      <c r="I5" s="216" t="s">
        <v>498</v>
      </c>
      <c r="J5" s="217"/>
    </row>
    <row r="6" spans="1:10">
      <c r="A6" s="94" t="s">
        <v>499</v>
      </c>
      <c r="B6" s="94" t="s">
        <v>500</v>
      </c>
      <c r="C6" s="94">
        <v>5</v>
      </c>
      <c r="D6" s="94">
        <v>3</v>
      </c>
      <c r="E6" s="94"/>
      <c r="F6" s="94">
        <v>1</v>
      </c>
      <c r="G6" s="94"/>
      <c r="H6" s="134">
        <v>1</v>
      </c>
      <c r="I6" s="216" t="s">
        <v>501</v>
      </c>
      <c r="J6" s="217"/>
    </row>
    <row r="7" spans="1:10">
      <c r="A7" s="94" t="s">
        <v>502</v>
      </c>
      <c r="B7" s="94" t="s">
        <v>503</v>
      </c>
      <c r="C7" s="94">
        <v>41</v>
      </c>
      <c r="D7" s="94">
        <v>15</v>
      </c>
      <c r="E7" s="94"/>
      <c r="F7" s="94">
        <v>11</v>
      </c>
      <c r="G7" s="94">
        <v>9</v>
      </c>
      <c r="H7" s="134">
        <v>6</v>
      </c>
      <c r="I7" s="216" t="s">
        <v>504</v>
      </c>
      <c r="J7" s="217"/>
    </row>
    <row r="8" spans="1:10">
      <c r="A8" s="94" t="s">
        <v>505</v>
      </c>
      <c r="B8" s="94" t="s">
        <v>506</v>
      </c>
      <c r="C8" s="94">
        <v>8</v>
      </c>
      <c r="D8" s="94">
        <v>7</v>
      </c>
      <c r="E8" s="94"/>
      <c r="F8" s="94">
        <v>1</v>
      </c>
      <c r="G8" s="94"/>
      <c r="H8" s="94"/>
      <c r="I8" s="94" t="s">
        <v>507</v>
      </c>
      <c r="J8" s="94" t="s">
        <v>501</v>
      </c>
    </row>
    <row r="9" spans="1:10">
      <c r="A9" s="94" t="s">
        <v>508</v>
      </c>
      <c r="B9" s="94" t="s">
        <v>509</v>
      </c>
      <c r="C9" s="94">
        <v>11</v>
      </c>
      <c r="D9" s="94">
        <v>8</v>
      </c>
      <c r="E9" s="94"/>
      <c r="F9" s="94">
        <v>3</v>
      </c>
      <c r="G9" s="94"/>
      <c r="H9" s="134"/>
      <c r="I9" s="216" t="s">
        <v>488</v>
      </c>
      <c r="J9" s="217"/>
    </row>
    <row r="10" spans="1:10">
      <c r="A10" s="215" t="s">
        <v>510</v>
      </c>
      <c r="B10" s="215"/>
      <c r="C10" s="133">
        <f>SUM(C2:C9)</f>
        <v>130</v>
      </c>
      <c r="D10" s="133">
        <f t="shared" ref="D10:H10" si="0">SUM(D2:D9)</f>
        <v>68</v>
      </c>
      <c r="E10" s="133">
        <f t="shared" si="0"/>
        <v>2</v>
      </c>
      <c r="F10" s="133">
        <f t="shared" si="0"/>
        <v>25</v>
      </c>
      <c r="G10" s="133">
        <f t="shared" si="0"/>
        <v>20</v>
      </c>
      <c r="H10" s="133">
        <f t="shared" si="0"/>
        <v>15</v>
      </c>
      <c r="I10" s="133"/>
      <c r="J10" s="133"/>
    </row>
    <row r="11" spans="1:10">
      <c r="A11" s="94" t="s">
        <v>511</v>
      </c>
      <c r="B11" s="94" t="s">
        <v>512</v>
      </c>
      <c r="C11" s="94">
        <v>13</v>
      </c>
      <c r="D11" s="94"/>
      <c r="E11" s="94"/>
      <c r="F11" s="94"/>
      <c r="G11" s="94"/>
      <c r="H11" s="94"/>
      <c r="I11" s="94" t="s">
        <v>513</v>
      </c>
      <c r="J11" s="94" t="s">
        <v>514</v>
      </c>
    </row>
    <row r="12" spans="1:10">
      <c r="A12" s="215" t="s">
        <v>515</v>
      </c>
      <c r="B12" s="215"/>
      <c r="C12" s="133">
        <f>SUM(C10:C11)</f>
        <v>143</v>
      </c>
      <c r="D12" s="133"/>
      <c r="E12" s="133"/>
      <c r="F12" s="133"/>
      <c r="G12" s="133"/>
      <c r="H12" s="133"/>
      <c r="I12" s="133"/>
      <c r="J12" s="133"/>
    </row>
    <row r="18" spans="1:2">
      <c r="A18" s="132" t="s">
        <v>522</v>
      </c>
      <c r="B18" s="132" t="s">
        <v>521</v>
      </c>
    </row>
    <row r="19" spans="1:2">
      <c r="A19" s="94" t="s">
        <v>516</v>
      </c>
      <c r="B19" s="94">
        <v>7</v>
      </c>
    </row>
    <row r="20" spans="1:2">
      <c r="A20" s="94" t="s">
        <v>517</v>
      </c>
      <c r="B20" s="94">
        <v>23</v>
      </c>
    </row>
    <row r="21" spans="1:2">
      <c r="A21" s="94" t="s">
        <v>518</v>
      </c>
      <c r="B21" s="94">
        <v>20</v>
      </c>
    </row>
    <row r="22" spans="1:2">
      <c r="A22" s="133" t="s">
        <v>519</v>
      </c>
      <c r="B22" s="133">
        <v>50</v>
      </c>
    </row>
    <row r="23" spans="1:2">
      <c r="A23" s="94" t="s">
        <v>520</v>
      </c>
      <c r="B23" s="94">
        <v>23</v>
      </c>
    </row>
    <row r="24" spans="1:2">
      <c r="A24" s="133" t="s">
        <v>474</v>
      </c>
      <c r="B24" s="133">
        <f>SUM(B22:B23)</f>
        <v>73</v>
      </c>
    </row>
  </sheetData>
  <mergeCells count="7">
    <mergeCell ref="A12:B12"/>
    <mergeCell ref="I2:J2"/>
    <mergeCell ref="I5:J5"/>
    <mergeCell ref="I6:J6"/>
    <mergeCell ref="I7:J7"/>
    <mergeCell ref="I9:J9"/>
    <mergeCell ref="A10:B10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Normal="100" workbookViewId="0">
      <selection activeCell="N16" sqref="N16"/>
    </sheetView>
  </sheetViews>
  <sheetFormatPr defaultRowHeight="13.5"/>
  <cols>
    <col min="1" max="1" width="9.44140625" customWidth="1"/>
    <col min="2" max="2" width="7.6640625" customWidth="1"/>
    <col min="3" max="3" width="7.77734375" customWidth="1"/>
    <col min="4" max="4" width="6.6640625" customWidth="1"/>
    <col min="5" max="5" width="5.6640625" customWidth="1"/>
    <col min="6" max="6" width="6.6640625" customWidth="1"/>
    <col min="7" max="7" width="5.6640625" customWidth="1"/>
    <col min="8" max="8" width="6.6640625" customWidth="1"/>
    <col min="9" max="9" width="7.77734375" customWidth="1"/>
    <col min="10" max="11" width="6.6640625" customWidth="1"/>
    <col min="12" max="12" width="7.77734375" customWidth="1"/>
    <col min="13" max="13" width="6.6640625" customWidth="1"/>
  </cols>
  <sheetData>
    <row r="1" spans="1:13" ht="17.25">
      <c r="A1" s="4" t="s">
        <v>619</v>
      </c>
      <c r="C1" s="6" t="str">
        <f>개발진척현황!C1</f>
        <v>2017.03.02</v>
      </c>
      <c r="F1" s="7"/>
      <c r="G1" s="7"/>
      <c r="H1" s="8"/>
      <c r="I1" s="6" t="s">
        <v>667</v>
      </c>
      <c r="L1" s="6" t="s">
        <v>668</v>
      </c>
    </row>
    <row r="2" spans="1:13">
      <c r="A2" s="110"/>
      <c r="B2" s="111"/>
      <c r="C2" s="172" t="s">
        <v>109</v>
      </c>
      <c r="D2" s="172"/>
      <c r="E2" s="172"/>
      <c r="F2" s="173"/>
      <c r="G2" s="173"/>
      <c r="H2" s="173"/>
      <c r="I2" s="218" t="s">
        <v>112</v>
      </c>
      <c r="J2" s="219"/>
      <c r="K2" s="220"/>
      <c r="L2" s="176" t="s">
        <v>116</v>
      </c>
      <c r="M2" s="178"/>
    </row>
    <row r="3" spans="1:13" ht="13.5" customHeight="1">
      <c r="A3" s="112" t="s">
        <v>33</v>
      </c>
      <c r="B3" s="108" t="s">
        <v>34</v>
      </c>
      <c r="C3" s="102" t="s">
        <v>38</v>
      </c>
      <c r="D3" s="102" t="s">
        <v>39</v>
      </c>
      <c r="E3" s="105" t="s">
        <v>110</v>
      </c>
      <c r="F3" s="105" t="s">
        <v>41</v>
      </c>
      <c r="G3" s="105" t="s">
        <v>111</v>
      </c>
      <c r="H3" s="105" t="s">
        <v>42</v>
      </c>
      <c r="I3" s="106" t="s">
        <v>113</v>
      </c>
      <c r="J3" s="106" t="s">
        <v>114</v>
      </c>
      <c r="K3" s="106" t="s">
        <v>115</v>
      </c>
      <c r="L3" s="107" t="s">
        <v>113</v>
      </c>
      <c r="M3" s="109" t="s">
        <v>117</v>
      </c>
    </row>
    <row r="4" spans="1:13">
      <c r="A4" s="104" t="s">
        <v>159</v>
      </c>
      <c r="B4" s="58">
        <f>COUNTIFS(개발일정표!$A:$A,$A$4,개발일정표!$H:$H,"&lt;&gt;삭제")</f>
        <v>31</v>
      </c>
      <c r="C4" s="58">
        <f>COUNTIFS(개발일정표!$A:$A,$A$4,개발일정표!$H:$H,"&lt;&gt;삭제",개발일정표!$J:$J,"&lt;="&amp;$C$1)</f>
        <v>18</v>
      </c>
      <c r="D4" s="58">
        <f>COUNTIFS(개발일정표!$A:$A,$A$4,개발일정표!$H:$H,"&lt;&gt;삭제",개발일정표!$L:$L,"&lt;="&amp;$C$1)</f>
        <v>9</v>
      </c>
      <c r="E4" s="59">
        <f>C4-D4</f>
        <v>9</v>
      </c>
      <c r="F4" s="60">
        <f t="shared" ref="F4:F13" si="0">IF(C4=0,0,D4/C4)</f>
        <v>0.5</v>
      </c>
      <c r="G4" s="59">
        <f>B4-D4</f>
        <v>22</v>
      </c>
      <c r="H4" s="60">
        <f t="shared" ref="H4:H13" si="1">IF(B4=0,0,D4/B4)</f>
        <v>0.29032258064516131</v>
      </c>
      <c r="I4" s="58">
        <f>COUNTIFS(개발일정표!$A:$A,$A4,개발일정표!$H:$H,"&lt;&gt;삭제",개발일정표!$J:$J,"&gt;="&amp;$I$1,개발일정표!$J:$J,"&lt;="&amp;$C$1)</f>
        <v>6</v>
      </c>
      <c r="J4" s="58">
        <f>COUNTIFS(개발일정표!$A:$A,$A4,개발일정표!$H:$H,"&lt;&gt;삭제",개발일정표!$L:$L,"&gt;="&amp;$I$1,개발일정표!$L:$L,"&lt;="&amp;$C$1)</f>
        <v>4</v>
      </c>
      <c r="K4" s="60">
        <f t="shared" ref="K4:K13" si="2">IF(I4=0,0,J4/I4)</f>
        <v>0.66666666666666663</v>
      </c>
      <c r="L4" s="58">
        <f>COUNTIFS(개발일정표!$A:$A,$A4,개발일정표!$H:$H,"&lt;&gt;삭제",개발일정표!$J:$J,"&gt;"&amp;$C$1,개발일정표!$J:$J,"&lt;="&amp;$L$1)</f>
        <v>2</v>
      </c>
      <c r="M4" s="60">
        <f>IF(B4=0,0,(C4+L4)/B4)</f>
        <v>0.64516129032258063</v>
      </c>
    </row>
    <row r="5" spans="1:13">
      <c r="A5" s="104" t="s">
        <v>119</v>
      </c>
      <c r="B5" s="58">
        <f>COUNTIFS(개발일정표!$A:$A,$A$5,개발일정표!$H:$H,"&lt;&gt;삭제")</f>
        <v>16</v>
      </c>
      <c r="C5" s="58">
        <f>COUNTIFS(개발일정표!$A:$A,$A$5,개발일정표!$H:$H,"&lt;&gt;삭제",개발일정표!$J:$J,"&lt;="&amp;$C$1)</f>
        <v>0</v>
      </c>
      <c r="D5" s="58">
        <f>COUNTIFS(개발일정표!$A:$A,$A$5,개발일정표!$H:$H,"&lt;&gt;삭제",개발일정표!$L:$L,"&lt;="&amp;$C$1)</f>
        <v>0</v>
      </c>
      <c r="E5" s="59">
        <f t="shared" ref="E5:E10" si="3">C5-D5</f>
        <v>0</v>
      </c>
      <c r="F5" s="60">
        <f t="shared" si="0"/>
        <v>0</v>
      </c>
      <c r="G5" s="59">
        <f t="shared" ref="G5:G12" si="4">B5-D5</f>
        <v>16</v>
      </c>
      <c r="H5" s="60">
        <f t="shared" si="1"/>
        <v>0</v>
      </c>
      <c r="I5" s="58">
        <f>COUNTIFS(개발일정표!$A:$A,$A5,개발일정표!$H:$H,"&lt;&gt;삭제",개발일정표!$J:$J,"&gt;="&amp;$I$1,개발일정표!$J:$J,"&lt;="&amp;$C$1)</f>
        <v>0</v>
      </c>
      <c r="J5" s="58">
        <f>COUNTIFS(개발일정표!$A:$A,$A5,개발일정표!$H:$H,"&lt;&gt;삭제",개발일정표!$L:$L,"&gt;="&amp;$I$1,개발일정표!$L:$L,"&lt;="&amp;$C$1)</f>
        <v>0</v>
      </c>
      <c r="K5" s="60">
        <f t="shared" si="2"/>
        <v>0</v>
      </c>
      <c r="L5" s="58">
        <f>COUNTIFS(개발일정표!$A:$A,$A5,개발일정표!$H:$H,"&lt;&gt;삭제",개발일정표!$J:$J,"&gt;"&amp;$C$1,개발일정표!$J:$J,"&lt;="&amp;$L$1)</f>
        <v>2</v>
      </c>
      <c r="M5" s="60">
        <f t="shared" ref="M5:M12" si="5">IF(B5=0,0,(C5+L5)/B5)</f>
        <v>0.125</v>
      </c>
    </row>
    <row r="6" spans="1:13">
      <c r="A6" s="104" t="s">
        <v>446</v>
      </c>
      <c r="B6" s="58">
        <f>COUNTIFS(개발일정표!$A:$A,$A$6,개발일정표!$H:$H,"&lt;&gt;삭제")</f>
        <v>24</v>
      </c>
      <c r="C6" s="58">
        <f>COUNTIFS(개발일정표!$A:$A,$A$6,개발일정표!$H:$H,"&lt;&gt;삭제",개발일정표!$J:$J,"&lt;="&amp;$C$1)</f>
        <v>0</v>
      </c>
      <c r="D6" s="58">
        <f>COUNTIFS(개발일정표!$A:$A,$A$6,개발일정표!$H:$H,"&lt;&gt;삭제",개발일정표!$L:$L,"&lt;="&amp;$C$1)</f>
        <v>0</v>
      </c>
      <c r="E6" s="59">
        <f t="shared" si="3"/>
        <v>0</v>
      </c>
      <c r="F6" s="60">
        <f t="shared" si="0"/>
        <v>0</v>
      </c>
      <c r="G6" s="59">
        <f t="shared" si="4"/>
        <v>24</v>
      </c>
      <c r="H6" s="60">
        <f t="shared" si="1"/>
        <v>0</v>
      </c>
      <c r="I6" s="58">
        <f>COUNTIFS(개발일정표!$A:$A,$A6,개발일정표!$H:$H,"&lt;&gt;삭제",개발일정표!$J:$J,"&gt;="&amp;$I$1,개발일정표!$J:$J,"&lt;="&amp;$C$1)</f>
        <v>0</v>
      </c>
      <c r="J6" s="58">
        <f>COUNTIFS(개발일정표!$A:$A,$A6,개발일정표!$H:$H,"&lt;&gt;삭제",개발일정표!$L:$L,"&gt;="&amp;$I$1,개발일정표!$L:$L,"&lt;="&amp;$C$1)</f>
        <v>0</v>
      </c>
      <c r="K6" s="60">
        <f t="shared" si="2"/>
        <v>0</v>
      </c>
      <c r="L6" s="58">
        <f>COUNTIFS(개발일정표!$A:$A,$A6,개발일정표!$H:$H,"&lt;&gt;삭제",개발일정표!$J:$J,"&gt;"&amp;$C$1,개발일정표!$J:$J,"&lt;="&amp;$L$1)</f>
        <v>2</v>
      </c>
      <c r="M6" s="60">
        <f t="shared" si="5"/>
        <v>8.3333333333333329E-2</v>
      </c>
    </row>
    <row r="7" spans="1:13">
      <c r="A7" s="104" t="s">
        <v>447</v>
      </c>
      <c r="B7" s="58">
        <f>COUNTIFS(개발일정표!$A:$A,$A$7,개발일정표!$H:$H,"&lt;&gt;삭제")</f>
        <v>5</v>
      </c>
      <c r="C7" s="58">
        <f>COUNTIFS(개발일정표!$A:$A,$A$7,개발일정표!$H:$H,"&lt;&gt;삭제",개발일정표!$J:$J,"&lt;="&amp;$C$1)</f>
        <v>0</v>
      </c>
      <c r="D7" s="58">
        <f>COUNTIFS(개발일정표!$A:$A,$A$7,개발일정표!$H:$H,"&lt;&gt;삭제",개발일정표!$L:$L,"&lt;="&amp;$C$1)</f>
        <v>0</v>
      </c>
      <c r="E7" s="59">
        <f t="shared" si="3"/>
        <v>0</v>
      </c>
      <c r="F7" s="60">
        <f t="shared" si="0"/>
        <v>0</v>
      </c>
      <c r="G7" s="59">
        <f t="shared" si="4"/>
        <v>5</v>
      </c>
      <c r="H7" s="60">
        <f t="shared" si="1"/>
        <v>0</v>
      </c>
      <c r="I7" s="58">
        <f>COUNTIFS(개발일정표!$A:$A,$A7,개발일정표!$H:$H,"&lt;&gt;삭제",개발일정표!$J:$J,"&gt;="&amp;$I$1,개발일정표!$J:$J,"&lt;="&amp;$C$1)</f>
        <v>0</v>
      </c>
      <c r="J7" s="58">
        <f>COUNTIFS(개발일정표!$A:$A,$A7,개발일정표!$H:$H,"&lt;&gt;삭제",개발일정표!$L:$L,"&gt;="&amp;$I$1,개발일정표!$L:$L,"&lt;="&amp;$C$1)</f>
        <v>0</v>
      </c>
      <c r="K7" s="60">
        <f t="shared" si="2"/>
        <v>0</v>
      </c>
      <c r="L7" s="58">
        <f>COUNTIFS(개발일정표!$A:$A,$A7,개발일정표!$H:$H,"&lt;&gt;삭제",개발일정표!$J:$J,"&gt;"&amp;$C$1,개발일정표!$J:$J,"&lt;="&amp;$L$1)</f>
        <v>0</v>
      </c>
      <c r="M7" s="60">
        <f t="shared" si="5"/>
        <v>0</v>
      </c>
    </row>
    <row r="8" spans="1:13">
      <c r="A8" s="104" t="s">
        <v>448</v>
      </c>
      <c r="B8" s="58">
        <f>COUNTIFS(개발일정표!$A:$A,$A$8,개발일정표!$H:$H,"&lt;&gt;삭제")</f>
        <v>5</v>
      </c>
      <c r="C8" s="58">
        <f>COUNTIFS(개발일정표!$A:$A,$A$8,개발일정표!$H:$H,"&lt;&gt;삭제",개발일정표!$J:$J,"&lt;="&amp;$C$1)</f>
        <v>0</v>
      </c>
      <c r="D8" s="58">
        <f>COUNTIFS(개발일정표!$A:$A,$A$8,개발일정표!$H:$H,"&lt;&gt;삭제",개발일정표!$L:$L,"&lt;="&amp;$C$1)</f>
        <v>0</v>
      </c>
      <c r="E8" s="59">
        <f t="shared" si="3"/>
        <v>0</v>
      </c>
      <c r="F8" s="60">
        <f t="shared" si="0"/>
        <v>0</v>
      </c>
      <c r="G8" s="59">
        <f t="shared" si="4"/>
        <v>5</v>
      </c>
      <c r="H8" s="60">
        <f t="shared" si="1"/>
        <v>0</v>
      </c>
      <c r="I8" s="58">
        <f>COUNTIFS(개발일정표!$A:$A,$A8,개발일정표!$H:$H,"&lt;&gt;삭제",개발일정표!$J:$J,"&gt;="&amp;$I$1,개발일정표!$J:$J,"&lt;="&amp;$C$1)</f>
        <v>0</v>
      </c>
      <c r="J8" s="58">
        <f>COUNTIFS(개발일정표!$A:$A,$A8,개발일정표!$H:$H,"&lt;&gt;삭제",개발일정표!$L:$L,"&gt;="&amp;$I$1,개발일정표!$L:$L,"&lt;="&amp;$C$1)</f>
        <v>0</v>
      </c>
      <c r="K8" s="60">
        <f t="shared" si="2"/>
        <v>0</v>
      </c>
      <c r="L8" s="58">
        <f>COUNTIFS(개발일정표!$A:$A,$A8,개발일정표!$H:$H,"&lt;&gt;삭제",개발일정표!$J:$J,"&gt;"&amp;$C$1,개발일정표!$J:$J,"&lt;="&amp;$L$1)</f>
        <v>0</v>
      </c>
      <c r="M8" s="60">
        <f t="shared" si="5"/>
        <v>0</v>
      </c>
    </row>
    <row r="9" spans="1:13">
      <c r="A9" s="114" t="s">
        <v>432</v>
      </c>
      <c r="B9" s="58">
        <f>COUNTIFS(개발일정표!$A:$A,$A$9,개발일정표!$H:$H,"&lt;&gt;삭제")</f>
        <v>41</v>
      </c>
      <c r="C9" s="58">
        <f>COUNTIFS(개발일정표!$A:$A,$A$9,개발일정표!$H:$H,"&lt;&gt;삭제",개발일정표!$J:$J,"&lt;="&amp;$C$1)</f>
        <v>0</v>
      </c>
      <c r="D9" s="58">
        <f>COUNTIFS(개발일정표!$A:$A,$A$9,개발일정표!$H:$H,"&lt;&gt;삭제",개발일정표!$L:$L,"&lt;="&amp;$C$1)</f>
        <v>0</v>
      </c>
      <c r="E9" s="59">
        <f t="shared" ref="E9" si="6">C9-D9</f>
        <v>0</v>
      </c>
      <c r="F9" s="60">
        <f t="shared" ref="F9" si="7">IF(C9=0,0,D9/C9)</f>
        <v>0</v>
      </c>
      <c r="G9" s="59">
        <f t="shared" ref="G9" si="8">B9-D9</f>
        <v>41</v>
      </c>
      <c r="H9" s="60">
        <f t="shared" ref="H9" si="9">IF(B9=0,0,D9/B9)</f>
        <v>0</v>
      </c>
      <c r="I9" s="58">
        <f>COUNTIFS(개발일정표!$A:$A,$A9,개발일정표!$H:$H,"&lt;&gt;삭제",개발일정표!$J:$J,"&gt;="&amp;$I$1,개발일정표!$J:$J,"&lt;="&amp;$C$1)</f>
        <v>0</v>
      </c>
      <c r="J9" s="58">
        <f>COUNTIFS(개발일정표!$A:$A,$A9,개발일정표!$H:$H,"&lt;&gt;삭제",개발일정표!$L:$L,"&gt;="&amp;$I$1,개발일정표!$L:$L,"&lt;="&amp;$C$1)</f>
        <v>0</v>
      </c>
      <c r="K9" s="60">
        <f t="shared" ref="K9" si="10">IF(I9=0,0,J9/I9)</f>
        <v>0</v>
      </c>
      <c r="L9" s="58">
        <f>COUNTIFS(개발일정표!$A:$A,$A9,개발일정표!$H:$H,"&lt;&gt;삭제",개발일정표!$J:$J,"&gt;"&amp;$C$1,개발일정표!$J:$J,"&lt;="&amp;$L$1)</f>
        <v>0</v>
      </c>
      <c r="M9" s="60">
        <f t="shared" si="5"/>
        <v>0</v>
      </c>
    </row>
    <row r="10" spans="1:13">
      <c r="A10" s="104" t="s">
        <v>435</v>
      </c>
      <c r="B10" s="58">
        <f>COUNTIFS(개발일정표!$A:$A,$A$10,개발일정표!$H:$H,"&lt;&gt;삭제")</f>
        <v>8</v>
      </c>
      <c r="C10" s="58">
        <f>COUNTIFS(개발일정표!$A:$A,$A$10,개발일정표!$H:$H,"&lt;&gt;삭제",개발일정표!$J:$J,"&lt;="&amp;$C$1)</f>
        <v>0</v>
      </c>
      <c r="D10" s="58">
        <f>COUNTIFS(개발일정표!$A:$A,$A$10,개발일정표!$H:$H,"&lt;&gt;삭제",개발일정표!$L:$L,"&lt;="&amp;$C$1)</f>
        <v>0</v>
      </c>
      <c r="E10" s="59">
        <f t="shared" si="3"/>
        <v>0</v>
      </c>
      <c r="F10" s="60">
        <f t="shared" si="0"/>
        <v>0</v>
      </c>
      <c r="G10" s="59">
        <f t="shared" si="4"/>
        <v>8</v>
      </c>
      <c r="H10" s="60">
        <f t="shared" si="1"/>
        <v>0</v>
      </c>
      <c r="I10" s="58">
        <f>COUNTIFS(개발일정표!$A:$A,$A10,개발일정표!$H:$H,"&lt;&gt;삭제",개발일정표!$J:$J,"&gt;="&amp;$I$1,개발일정표!$J:$J,"&lt;="&amp;$C$1)</f>
        <v>0</v>
      </c>
      <c r="J10" s="58">
        <f>COUNTIFS(개발일정표!$A:$A,$A10,개발일정표!$H:$H,"&lt;&gt;삭제",개발일정표!$L:$L,"&gt;="&amp;$I$1,개발일정표!$L:$L,"&lt;="&amp;$C$1)</f>
        <v>0</v>
      </c>
      <c r="K10" s="60">
        <f t="shared" si="2"/>
        <v>0</v>
      </c>
      <c r="L10" s="58">
        <f>COUNTIFS(개발일정표!$A:$A,$A10,개발일정표!$H:$H,"&lt;&gt;삭제",개발일정표!$J:$J,"&gt;"&amp;$C$1,개발일정표!$J:$J,"&lt;="&amp;$L$1)</f>
        <v>0</v>
      </c>
      <c r="M10" s="60">
        <f t="shared" si="5"/>
        <v>0</v>
      </c>
    </row>
    <row r="11" spans="1:13">
      <c r="A11" s="103" t="s">
        <v>108</v>
      </c>
      <c r="B11" s="61">
        <f>SUM(B4:B10)</f>
        <v>130</v>
      </c>
      <c r="C11" s="61">
        <f t="shared" ref="C11:G11" si="11">SUM(C4:C10)</f>
        <v>18</v>
      </c>
      <c r="D11" s="61">
        <f t="shared" si="11"/>
        <v>9</v>
      </c>
      <c r="E11" s="61">
        <f t="shared" si="11"/>
        <v>9</v>
      </c>
      <c r="F11" s="21">
        <f t="shared" si="0"/>
        <v>0.5</v>
      </c>
      <c r="G11" s="36">
        <f t="shared" si="11"/>
        <v>121</v>
      </c>
      <c r="H11" s="21">
        <f t="shared" si="1"/>
        <v>6.9230769230769235E-2</v>
      </c>
      <c r="I11" s="61">
        <f t="shared" ref="I11:J11" si="12">SUM(I4:I10)</f>
        <v>6</v>
      </c>
      <c r="J11" s="61">
        <f t="shared" si="12"/>
        <v>4</v>
      </c>
      <c r="K11" s="21">
        <f t="shared" si="2"/>
        <v>0.66666666666666663</v>
      </c>
      <c r="L11" s="61">
        <f t="shared" ref="L11" si="13">SUM(L4:L10)</f>
        <v>6</v>
      </c>
      <c r="M11" s="21">
        <f>IF(B11=0,0,(D11+L11)/B11)</f>
        <v>0.11538461538461539</v>
      </c>
    </row>
    <row r="12" spans="1:13">
      <c r="A12" s="104" t="s">
        <v>443</v>
      </c>
      <c r="B12" s="58">
        <f>COUNTIFS(개발일정표!$A:$A,$A$12,개발일정표!$H:$H,"&lt;&gt;삭제")</f>
        <v>13</v>
      </c>
      <c r="C12" s="58">
        <f>COUNTIFS(개발일정표!$A:$A,$A$12,개발일정표!$H:$H,"&lt;&gt;삭제",개발일정표!$J:$J,"&lt;="&amp;$C$1)</f>
        <v>0</v>
      </c>
      <c r="D12" s="58">
        <f>COUNTIFS(개발일정표!$A:$A,$A$12,개발일정표!$H:$H,"&lt;&gt;삭제",개발일정표!$L:$L,"&lt;="&amp;$C$1)</f>
        <v>0</v>
      </c>
      <c r="E12" s="59">
        <f>C12-D12</f>
        <v>0</v>
      </c>
      <c r="F12" s="60">
        <f t="shared" si="0"/>
        <v>0</v>
      </c>
      <c r="G12" s="59">
        <f t="shared" si="4"/>
        <v>13</v>
      </c>
      <c r="H12" s="60">
        <f t="shared" si="1"/>
        <v>0</v>
      </c>
      <c r="I12" s="58">
        <f>COUNTIFS(개발일정표!$A:$A,$A12,개발일정표!$H:$H,"&lt;&gt;삭제",개발일정표!$J:$J,"&gt;="&amp;$I$1,개발일정표!$J:$J,"&lt;="&amp;$C$1)</f>
        <v>0</v>
      </c>
      <c r="J12" s="58">
        <f>COUNTIFS(개발일정표!$A:$A,$A12,개발일정표!$H:$H,"&lt;&gt;삭제",개발일정표!$L:$L,"&gt;="&amp;$I$1,개발일정표!$L:$L,"&lt;="&amp;$C$1)</f>
        <v>0</v>
      </c>
      <c r="K12" s="60">
        <f t="shared" si="2"/>
        <v>0</v>
      </c>
      <c r="L12" s="58">
        <f>COUNTIFS(개발일정표!$A:$A,$A12,개발일정표!$H:$H,"&lt;&gt;삭제",개발일정표!$J:$J,"&gt;"&amp;$C$1,개발일정표!$J:$J,"&lt;="&amp;$L$1)</f>
        <v>0</v>
      </c>
      <c r="M12" s="60">
        <f t="shared" si="5"/>
        <v>0</v>
      </c>
    </row>
    <row r="13" spans="1:13">
      <c r="A13" s="103" t="s">
        <v>87</v>
      </c>
      <c r="B13" s="61">
        <f>SUM(B11:B12)</f>
        <v>143</v>
      </c>
      <c r="C13" s="61">
        <f>SUM(C11:C12)</f>
        <v>18</v>
      </c>
      <c r="D13" s="61">
        <f>SUM(D11:D12)</f>
        <v>9</v>
      </c>
      <c r="E13" s="61">
        <f>SUM(E11:E12)</f>
        <v>9</v>
      </c>
      <c r="F13" s="21">
        <f t="shared" si="0"/>
        <v>0.5</v>
      </c>
      <c r="G13" s="36">
        <f>SUM(G11:G12)</f>
        <v>134</v>
      </c>
      <c r="H13" s="21">
        <f t="shared" si="1"/>
        <v>6.2937062937062943E-2</v>
      </c>
      <c r="I13" s="61">
        <f>SUM(I11:I12)</f>
        <v>6</v>
      </c>
      <c r="J13" s="61">
        <f>SUM(J11:J12)</f>
        <v>4</v>
      </c>
      <c r="K13" s="21">
        <f t="shared" si="2"/>
        <v>0.66666666666666663</v>
      </c>
      <c r="L13" s="61">
        <f>SUM(L11:L12)</f>
        <v>6</v>
      </c>
      <c r="M13" s="21">
        <f>IF(B13=0,0,(D13+L13)/B13)</f>
        <v>0.1048951048951049</v>
      </c>
    </row>
    <row r="15" spans="1:13">
      <c r="A15" s="157" t="s">
        <v>626</v>
      </c>
    </row>
    <row r="16" spans="1:13">
      <c r="A16" s="110"/>
      <c r="B16" s="111"/>
      <c r="C16" s="172" t="s">
        <v>109</v>
      </c>
      <c r="D16" s="172"/>
      <c r="E16" s="172"/>
      <c r="F16" s="173"/>
      <c r="G16" s="173"/>
      <c r="H16" s="173"/>
      <c r="I16" s="218" t="s">
        <v>112</v>
      </c>
      <c r="J16" s="219"/>
      <c r="K16" s="220"/>
      <c r="L16" s="176" t="s">
        <v>116</v>
      </c>
      <c r="M16" s="178"/>
    </row>
    <row r="17" spans="1:13">
      <c r="A17" s="112" t="s">
        <v>33</v>
      </c>
      <c r="B17" s="148" t="s">
        <v>627</v>
      </c>
      <c r="C17" s="141" t="s">
        <v>38</v>
      </c>
      <c r="D17" s="141" t="s">
        <v>39</v>
      </c>
      <c r="E17" s="144" t="s">
        <v>110</v>
      </c>
      <c r="F17" s="144" t="s">
        <v>41</v>
      </c>
      <c r="G17" s="144" t="s">
        <v>111</v>
      </c>
      <c r="H17" s="144" t="s">
        <v>42</v>
      </c>
      <c r="I17" s="145" t="s">
        <v>38</v>
      </c>
      <c r="J17" s="145" t="s">
        <v>114</v>
      </c>
      <c r="K17" s="145" t="s">
        <v>41</v>
      </c>
      <c r="L17" s="147" t="s">
        <v>38</v>
      </c>
      <c r="M17" s="109" t="s">
        <v>42</v>
      </c>
    </row>
    <row r="18" spans="1:13">
      <c r="A18" s="143" t="s">
        <v>159</v>
      </c>
      <c r="B18" s="58">
        <f>COUNTIFS(개발일정표!$C:$C,"1차",개발일정표!$A:$A,$A18,개발일정표!$H:$H,"&lt;&gt;삭제")</f>
        <v>20</v>
      </c>
      <c r="C18" s="58">
        <f>COUNTIFS(개발일정표!$C:$C,"1차",개발일정표!$A:$A,$A18,개발일정표!$H:$H,"&lt;&gt;삭제",개발일정표!$J:$J,"&lt;="&amp;$C$1)</f>
        <v>18</v>
      </c>
      <c r="D18" s="58">
        <f>COUNTIFS(개발일정표!$C:$C,"1차",개발일정표!$A:$A,$A18,개발일정표!$H:$H,"&lt;&gt;삭제",개발일정표!$L:$L,"&lt;="&amp;$C$1)</f>
        <v>9</v>
      </c>
      <c r="E18" s="59">
        <f>C18-D18</f>
        <v>9</v>
      </c>
      <c r="F18" s="60">
        <f t="shared" ref="F18:F27" si="14">IF(C18=0,0,D18/C18)</f>
        <v>0.5</v>
      </c>
      <c r="G18" s="59">
        <f>B18-D18</f>
        <v>11</v>
      </c>
      <c r="H18" s="60">
        <f t="shared" ref="H18:H27" si="15">IF(B18=0,0,D18/B18)</f>
        <v>0.45</v>
      </c>
      <c r="I18" s="58">
        <f>COUNTIFS(개발일정표!$C:$C,"1차",개발일정표!$A:$A,$A18,개발일정표!$H:$H,"&lt;&gt;삭제",개발일정표!$J:$J,"&gt;="&amp;$I$1,개발일정표!$J:$J,"&lt;="&amp;$C$1)</f>
        <v>6</v>
      </c>
      <c r="J18" s="58">
        <f>COUNTIFS(개발일정표!$C:$C,"1차",개발일정표!$A:$A,$A18,개발일정표!$H:$H,"&lt;&gt;삭제",개발일정표!$L:$L,"&gt;="&amp;$I$1,개발일정표!$L:$L,"&lt;="&amp;$C$1)</f>
        <v>4</v>
      </c>
      <c r="K18" s="60">
        <f t="shared" ref="K18:K27" si="16">IF(I18=0,0,J18/I18)</f>
        <v>0.66666666666666663</v>
      </c>
      <c r="L18" s="58">
        <f>COUNTIFS(개발일정표!$C:$C,"1차",개발일정표!$A:$A,$A18,개발일정표!$H:$H,"&lt;&gt;삭제",개발일정표!$J:$J,"&gt;"&amp;$C$1,개발일정표!$J:$J,"&lt;="&amp;$L$1)</f>
        <v>2</v>
      </c>
      <c r="M18" s="60">
        <f>IF(B18=0,0,(C18+L18)/B18)</f>
        <v>1</v>
      </c>
    </row>
    <row r="19" spans="1:13">
      <c r="A19" s="143" t="s">
        <v>119</v>
      </c>
      <c r="B19" s="58">
        <f>COUNTIFS(개발일정표!$C:$C,"1차",개발일정표!$A:$A,$A19,개발일정표!$H:$H,"&lt;&gt;삭제")</f>
        <v>9</v>
      </c>
      <c r="C19" s="58">
        <f>COUNTIFS(개발일정표!$C:$C,"1차",개발일정표!$A:$A,$A19,개발일정표!$H:$H,"&lt;&gt;삭제",개발일정표!$J:$J,"&lt;="&amp;$C$1)</f>
        <v>0</v>
      </c>
      <c r="D19" s="58">
        <f>COUNTIFS(개발일정표!$C:$C,"1차",개발일정표!$A:$A,$A19,개발일정표!$H:$H,"&lt;&gt;삭제",개발일정표!$L:$L,"&lt;="&amp;$C$1)</f>
        <v>0</v>
      </c>
      <c r="E19" s="59">
        <f t="shared" ref="E19:E24" si="17">C19-D19</f>
        <v>0</v>
      </c>
      <c r="F19" s="60">
        <f t="shared" si="14"/>
        <v>0</v>
      </c>
      <c r="G19" s="59">
        <f t="shared" ref="G19:G24" si="18">B19-D19</f>
        <v>9</v>
      </c>
      <c r="H19" s="60">
        <f t="shared" si="15"/>
        <v>0</v>
      </c>
      <c r="I19" s="58">
        <f>COUNTIFS(개발일정표!$C:$C,"1차",개발일정표!$A:$A,$A19,개발일정표!$H:$H,"&lt;&gt;삭제",개발일정표!$J:$J,"&gt;="&amp;$I$1,개발일정표!$J:$J,"&lt;="&amp;$C$1)</f>
        <v>0</v>
      </c>
      <c r="J19" s="58">
        <f>COUNTIFS(개발일정표!$C:$C,"1차",개발일정표!$A:$A,$A19,개발일정표!$H:$H,"&lt;&gt;삭제",개발일정표!$L:$L,"&gt;="&amp;$I$1,개발일정표!$L:$L,"&lt;="&amp;$C$1)</f>
        <v>0</v>
      </c>
      <c r="K19" s="60">
        <f t="shared" si="16"/>
        <v>0</v>
      </c>
      <c r="L19" s="58">
        <f>COUNTIFS(개발일정표!$C:$C,"1차",개발일정표!$A:$A,$A19,개발일정표!$H:$H,"&lt;&gt;삭제",개발일정표!$J:$J,"&gt;"&amp;$C$1,개발일정표!$J:$J,"&lt;="&amp;$L$1)</f>
        <v>2</v>
      </c>
      <c r="M19" s="60">
        <f t="shared" ref="M19:M24" si="19">IF(B19=0,0,(C19+L19)/B19)</f>
        <v>0.22222222222222221</v>
      </c>
    </row>
    <row r="20" spans="1:13">
      <c r="A20" s="143" t="s">
        <v>446</v>
      </c>
      <c r="B20" s="58">
        <f>COUNTIFS(개발일정표!$C:$C,"1차",개발일정표!$A:$A,$A20,개발일정표!$H:$H,"&lt;&gt;삭제")</f>
        <v>13</v>
      </c>
      <c r="C20" s="58">
        <f>COUNTIFS(개발일정표!$C:$C,"1차",개발일정표!$A:$A,$A20,개발일정표!$H:$H,"&lt;&gt;삭제",개발일정표!$J:$J,"&lt;="&amp;$C$1)</f>
        <v>0</v>
      </c>
      <c r="D20" s="58">
        <f>COUNTIFS(개발일정표!$C:$C,"1차",개발일정표!$A:$A,$A20,개발일정표!$H:$H,"&lt;&gt;삭제",개발일정표!$L:$L,"&lt;="&amp;$C$1)</f>
        <v>0</v>
      </c>
      <c r="E20" s="59">
        <f t="shared" si="17"/>
        <v>0</v>
      </c>
      <c r="F20" s="60">
        <f t="shared" si="14"/>
        <v>0</v>
      </c>
      <c r="G20" s="59">
        <f t="shared" si="18"/>
        <v>13</v>
      </c>
      <c r="H20" s="60">
        <f t="shared" si="15"/>
        <v>0</v>
      </c>
      <c r="I20" s="58">
        <f>COUNTIFS(개발일정표!$C:$C,"1차",개발일정표!$A:$A,$A20,개발일정표!$H:$H,"&lt;&gt;삭제",개발일정표!$J:$J,"&gt;="&amp;$I$1,개발일정표!$J:$J,"&lt;="&amp;$C$1)</f>
        <v>0</v>
      </c>
      <c r="J20" s="58">
        <f>COUNTIFS(개발일정표!$C:$C,"1차",개발일정표!$A:$A,$A20,개발일정표!$H:$H,"&lt;&gt;삭제",개발일정표!$L:$L,"&gt;="&amp;$I$1,개발일정표!$L:$L,"&lt;="&amp;$C$1)</f>
        <v>0</v>
      </c>
      <c r="K20" s="60">
        <f t="shared" si="16"/>
        <v>0</v>
      </c>
      <c r="L20" s="58">
        <f>COUNTIFS(개발일정표!$C:$C,"1차",개발일정표!$A:$A,$A20,개발일정표!$H:$H,"&lt;&gt;삭제",개발일정표!$J:$J,"&gt;"&amp;$C$1,개발일정표!$J:$J,"&lt;="&amp;$L$1)</f>
        <v>2</v>
      </c>
      <c r="M20" s="60">
        <f t="shared" si="19"/>
        <v>0.15384615384615385</v>
      </c>
    </row>
    <row r="21" spans="1:13">
      <c r="A21" s="143" t="s">
        <v>271</v>
      </c>
      <c r="B21" s="58">
        <f>COUNTIFS(개발일정표!$C:$C,"1차",개발일정표!$A:$A,$A21,개발일정표!$H:$H,"&lt;&gt;삭제")</f>
        <v>4</v>
      </c>
      <c r="C21" s="58">
        <f>COUNTIFS(개발일정표!$C:$C,"1차",개발일정표!$A:$A,$A21,개발일정표!$H:$H,"&lt;&gt;삭제",개발일정표!$J:$J,"&lt;="&amp;$C$1)</f>
        <v>0</v>
      </c>
      <c r="D21" s="58">
        <f>COUNTIFS(개발일정표!$C:$C,"1차",개발일정표!$A:$A,$A21,개발일정표!$H:$H,"&lt;&gt;삭제",개발일정표!$L:$L,"&lt;="&amp;$C$1)</f>
        <v>0</v>
      </c>
      <c r="E21" s="59">
        <f t="shared" si="17"/>
        <v>0</v>
      </c>
      <c r="F21" s="60">
        <f t="shared" si="14"/>
        <v>0</v>
      </c>
      <c r="G21" s="59">
        <f t="shared" si="18"/>
        <v>4</v>
      </c>
      <c r="H21" s="60">
        <f t="shared" si="15"/>
        <v>0</v>
      </c>
      <c r="I21" s="58">
        <f>COUNTIFS(개발일정표!$C:$C,"1차",개발일정표!$A:$A,$A21,개발일정표!$H:$H,"&lt;&gt;삭제",개발일정표!$J:$J,"&gt;="&amp;$I$1,개발일정표!$J:$J,"&lt;="&amp;$C$1)</f>
        <v>0</v>
      </c>
      <c r="J21" s="58">
        <f>COUNTIFS(개발일정표!$C:$C,"1차",개발일정표!$A:$A,$A21,개발일정표!$H:$H,"&lt;&gt;삭제",개발일정표!$L:$L,"&gt;="&amp;$I$1,개발일정표!$L:$L,"&lt;="&amp;$C$1)</f>
        <v>0</v>
      </c>
      <c r="K21" s="60">
        <f t="shared" si="16"/>
        <v>0</v>
      </c>
      <c r="L21" s="58">
        <f>COUNTIFS(개발일정표!$C:$C,"1차",개발일정표!$A:$A,$A21,개발일정표!$H:$H,"&lt;&gt;삭제",개발일정표!$J:$J,"&gt;"&amp;$C$1,개발일정표!$J:$J,"&lt;="&amp;$L$1)</f>
        <v>0</v>
      </c>
      <c r="M21" s="60">
        <f t="shared" si="19"/>
        <v>0</v>
      </c>
    </row>
    <row r="22" spans="1:13">
      <c r="A22" s="143" t="s">
        <v>444</v>
      </c>
      <c r="B22" s="58">
        <f>COUNTIFS(개발일정표!$C:$C,"1차",개발일정표!$A:$A,$A22,개발일정표!$H:$H,"&lt;&gt;삭제")</f>
        <v>4</v>
      </c>
      <c r="C22" s="58">
        <f>COUNTIFS(개발일정표!$C:$C,"1차",개발일정표!$A:$A,$A22,개발일정표!$H:$H,"&lt;&gt;삭제",개발일정표!$J:$J,"&lt;="&amp;$C$1)</f>
        <v>0</v>
      </c>
      <c r="D22" s="58">
        <f>COUNTIFS(개발일정표!$C:$C,"1차",개발일정표!$A:$A,$A22,개발일정표!$H:$H,"&lt;&gt;삭제",개발일정표!$L:$L,"&lt;="&amp;$C$1)</f>
        <v>0</v>
      </c>
      <c r="E22" s="59">
        <f t="shared" si="17"/>
        <v>0</v>
      </c>
      <c r="F22" s="60">
        <f t="shared" si="14"/>
        <v>0</v>
      </c>
      <c r="G22" s="59">
        <f t="shared" si="18"/>
        <v>4</v>
      </c>
      <c r="H22" s="60">
        <f t="shared" si="15"/>
        <v>0</v>
      </c>
      <c r="I22" s="58">
        <f>COUNTIFS(개발일정표!$C:$C,"1차",개발일정표!$A:$A,$A22,개발일정표!$H:$H,"&lt;&gt;삭제",개발일정표!$J:$J,"&gt;="&amp;$I$1,개발일정표!$J:$J,"&lt;="&amp;$C$1)</f>
        <v>0</v>
      </c>
      <c r="J22" s="58">
        <f>COUNTIFS(개발일정표!$C:$C,"1차",개발일정표!$A:$A,$A22,개발일정표!$H:$H,"&lt;&gt;삭제",개발일정표!$L:$L,"&gt;="&amp;$I$1,개발일정표!$L:$L,"&lt;="&amp;$C$1)</f>
        <v>0</v>
      </c>
      <c r="K22" s="60">
        <f t="shared" si="16"/>
        <v>0</v>
      </c>
      <c r="L22" s="58">
        <f>COUNTIFS(개발일정표!$C:$C,"1차",개발일정표!$A:$A,$A22,개발일정표!$H:$H,"&lt;&gt;삭제",개발일정표!$J:$J,"&gt;"&amp;$C$1,개발일정표!$J:$J,"&lt;="&amp;$L$1)</f>
        <v>0</v>
      </c>
      <c r="M22" s="60">
        <f t="shared" si="19"/>
        <v>0</v>
      </c>
    </row>
    <row r="23" spans="1:13">
      <c r="A23" s="143" t="s">
        <v>310</v>
      </c>
      <c r="B23" s="58">
        <f>COUNTIFS(개발일정표!$C:$C,"1차",개발일정표!$A:$A,$A23,개발일정표!$H:$H,"&lt;&gt;삭제")</f>
        <v>26</v>
      </c>
      <c r="C23" s="58">
        <f>COUNTIFS(개발일정표!$C:$C,"1차",개발일정표!$A:$A,$A23,개발일정표!$H:$H,"&lt;&gt;삭제",개발일정표!$J:$J,"&lt;="&amp;$C$1)</f>
        <v>0</v>
      </c>
      <c r="D23" s="58">
        <f>COUNTIFS(개발일정표!$C:$C,"1차",개발일정표!$A:$A,$A23,개발일정표!$H:$H,"&lt;&gt;삭제",개발일정표!$L:$L,"&lt;="&amp;$C$1)</f>
        <v>0</v>
      </c>
      <c r="E23" s="59">
        <f t="shared" si="17"/>
        <v>0</v>
      </c>
      <c r="F23" s="60">
        <f t="shared" si="14"/>
        <v>0</v>
      </c>
      <c r="G23" s="59">
        <f t="shared" si="18"/>
        <v>26</v>
      </c>
      <c r="H23" s="60">
        <f t="shared" si="15"/>
        <v>0</v>
      </c>
      <c r="I23" s="58">
        <f>COUNTIFS(개발일정표!$C:$C,"1차",개발일정표!$A:$A,$A23,개발일정표!$H:$H,"&lt;&gt;삭제",개발일정표!$J:$J,"&gt;="&amp;$I$1,개발일정표!$J:$J,"&lt;="&amp;$C$1)</f>
        <v>0</v>
      </c>
      <c r="J23" s="58">
        <f>COUNTIFS(개발일정표!$C:$C,"1차",개발일정표!$A:$A,$A23,개발일정표!$H:$H,"&lt;&gt;삭제",개발일정표!$L:$L,"&gt;="&amp;$I$1,개발일정표!$L:$L,"&lt;="&amp;$C$1)</f>
        <v>0</v>
      </c>
      <c r="K23" s="60">
        <f t="shared" si="16"/>
        <v>0</v>
      </c>
      <c r="L23" s="58">
        <f>COUNTIFS(개발일정표!$C:$C,"1차",개발일정표!$A:$A,$A23,개발일정표!$H:$H,"&lt;&gt;삭제",개발일정표!$J:$J,"&gt;"&amp;$C$1,개발일정표!$J:$J,"&lt;="&amp;$L$1)</f>
        <v>0</v>
      </c>
      <c r="M23" s="60">
        <f t="shared" si="19"/>
        <v>0</v>
      </c>
    </row>
    <row r="24" spans="1:13">
      <c r="A24" s="143" t="s">
        <v>371</v>
      </c>
      <c r="B24" s="58">
        <f>COUNTIFS(개발일정표!$C:$C,"1차",개발일정표!$A:$A,$A24,개발일정표!$H:$H,"&lt;&gt;삭제")</f>
        <v>7</v>
      </c>
      <c r="C24" s="58">
        <f>COUNTIFS(개발일정표!$C:$C,"1차",개발일정표!$A:$A,$A24,개발일정표!$H:$H,"&lt;&gt;삭제",개발일정표!$J:$J,"&lt;="&amp;$C$1)</f>
        <v>0</v>
      </c>
      <c r="D24" s="58">
        <f>COUNTIFS(개발일정표!$C:$C,"1차",개발일정표!$A:$A,$A24,개발일정표!$H:$H,"&lt;&gt;삭제",개발일정표!$L:$L,"&lt;="&amp;$C$1)</f>
        <v>0</v>
      </c>
      <c r="E24" s="59">
        <f t="shared" si="17"/>
        <v>0</v>
      </c>
      <c r="F24" s="60">
        <f t="shared" si="14"/>
        <v>0</v>
      </c>
      <c r="G24" s="59">
        <f t="shared" si="18"/>
        <v>7</v>
      </c>
      <c r="H24" s="60">
        <f t="shared" si="15"/>
        <v>0</v>
      </c>
      <c r="I24" s="58">
        <f>COUNTIFS(개발일정표!$C:$C,"1차",개발일정표!$A:$A,$A24,개발일정표!$H:$H,"&lt;&gt;삭제",개발일정표!$J:$J,"&gt;="&amp;$I$1,개발일정표!$J:$J,"&lt;="&amp;$C$1)</f>
        <v>0</v>
      </c>
      <c r="J24" s="58">
        <f>COUNTIFS(개발일정표!$C:$C,"1차",개발일정표!$A:$A,$A24,개발일정표!$H:$H,"&lt;&gt;삭제",개발일정표!$L:$L,"&gt;="&amp;$I$1,개발일정표!$L:$L,"&lt;="&amp;$C$1)</f>
        <v>0</v>
      </c>
      <c r="K24" s="60">
        <f t="shared" si="16"/>
        <v>0</v>
      </c>
      <c r="L24" s="58">
        <f>COUNTIFS(개발일정표!$C:$C,"1차",개발일정표!$A:$A,$A24,개발일정표!$H:$H,"&lt;&gt;삭제",개발일정표!$J:$J,"&gt;"&amp;$C$1,개발일정표!$J:$J,"&lt;="&amp;$L$1)</f>
        <v>0</v>
      </c>
      <c r="M24" s="60">
        <f t="shared" si="19"/>
        <v>0</v>
      </c>
    </row>
    <row r="25" spans="1:13">
      <c r="A25" s="142" t="s">
        <v>108</v>
      </c>
      <c r="B25" s="61">
        <f>SUM(B18:B24)</f>
        <v>83</v>
      </c>
      <c r="C25" s="61">
        <f t="shared" ref="C25:E25" si="20">SUM(C18:C24)</f>
        <v>18</v>
      </c>
      <c r="D25" s="61">
        <f t="shared" si="20"/>
        <v>9</v>
      </c>
      <c r="E25" s="61">
        <f t="shared" si="20"/>
        <v>9</v>
      </c>
      <c r="F25" s="21">
        <f t="shared" si="14"/>
        <v>0.5</v>
      </c>
      <c r="G25" s="36">
        <f t="shared" ref="G25" si="21">SUM(G18:G24)</f>
        <v>74</v>
      </c>
      <c r="H25" s="21">
        <f t="shared" si="15"/>
        <v>0.10843373493975904</v>
      </c>
      <c r="I25" s="61">
        <f t="shared" ref="I25:J25" si="22">SUM(I18:I24)</f>
        <v>6</v>
      </c>
      <c r="J25" s="61">
        <f t="shared" si="22"/>
        <v>4</v>
      </c>
      <c r="K25" s="21">
        <f t="shared" si="16"/>
        <v>0.66666666666666663</v>
      </c>
      <c r="L25" s="61">
        <f t="shared" ref="L25" si="23">SUM(L18:L24)</f>
        <v>6</v>
      </c>
      <c r="M25" s="21">
        <f>IF(B25=0,0,(D25+L25)/B25)</f>
        <v>0.18072289156626506</v>
      </c>
    </row>
    <row r="26" spans="1:13">
      <c r="A26" s="143" t="s">
        <v>443</v>
      </c>
      <c r="B26" s="58">
        <f>COUNTIFS(개발일정표!$C:$C,"1차",개발일정표!$A:$A,$A26,개발일정표!$H:$H,"&lt;&gt;삭제")</f>
        <v>13</v>
      </c>
      <c r="C26" s="58">
        <f>COUNTIFS(개발일정표!$C:$C,"1차",개발일정표!$A:$A,$A26,개발일정표!$H:$H,"&lt;&gt;삭제",개발일정표!$J:$J,"&lt;="&amp;$C$1)</f>
        <v>0</v>
      </c>
      <c r="D26" s="58">
        <f>COUNTIFS(개발일정표!$C:$C,"1차",개발일정표!$A:$A,$A26,개발일정표!$H:$H,"&lt;&gt;삭제",개발일정표!$L:$L,"&lt;="&amp;$C$1)</f>
        <v>0</v>
      </c>
      <c r="E26" s="59">
        <f>C26-D26</f>
        <v>0</v>
      </c>
      <c r="F26" s="60">
        <f t="shared" si="14"/>
        <v>0</v>
      </c>
      <c r="G26" s="59">
        <f t="shared" ref="G26" si="24">B26-D26</f>
        <v>13</v>
      </c>
      <c r="H26" s="60">
        <f t="shared" si="15"/>
        <v>0</v>
      </c>
      <c r="I26" s="58">
        <f>COUNTIFS(개발일정표!$C:$C,"1차",개발일정표!$A:$A,$A26,개발일정표!$H:$H,"&lt;&gt;삭제",개발일정표!$J:$J,"&gt;="&amp;$I$1,개발일정표!$J:$J,"&lt;="&amp;$C$1)</f>
        <v>0</v>
      </c>
      <c r="J26" s="58">
        <f>COUNTIFS(개발일정표!$C:$C,"1차",개발일정표!$A:$A,$A26,개발일정표!$H:$H,"&lt;&gt;삭제",개발일정표!$L:$L,"&gt;="&amp;$I$1,개발일정표!$L:$L,"&lt;="&amp;$C$1)</f>
        <v>0</v>
      </c>
      <c r="K26" s="60">
        <f t="shared" si="16"/>
        <v>0</v>
      </c>
      <c r="L26" s="58">
        <f>COUNTIFS(개발일정표!$C:$C,"1차",개발일정표!$A:$A,$A26,개발일정표!$H:$H,"&lt;&gt;삭제",개발일정표!$J:$J,"&gt;"&amp;$C$1,개발일정표!$J:$J,"&lt;="&amp;$L$1)</f>
        <v>0</v>
      </c>
      <c r="M26" s="60">
        <f t="shared" ref="M26" si="25">IF(B26=0,0,(C26+L26)/B26)</f>
        <v>0</v>
      </c>
    </row>
    <row r="27" spans="1:13">
      <c r="A27" s="142" t="s">
        <v>87</v>
      </c>
      <c r="B27" s="61">
        <f>SUM(B25:B26)</f>
        <v>96</v>
      </c>
      <c r="C27" s="61">
        <f>SUM(C25:C26)</f>
        <v>18</v>
      </c>
      <c r="D27" s="61">
        <f>SUM(D25:D26)</f>
        <v>9</v>
      </c>
      <c r="E27" s="61">
        <f>SUM(E25:E26)</f>
        <v>9</v>
      </c>
      <c r="F27" s="21">
        <f t="shared" si="14"/>
        <v>0.5</v>
      </c>
      <c r="G27" s="36">
        <f>SUM(G25:G26)</f>
        <v>87</v>
      </c>
      <c r="H27" s="21">
        <f t="shared" si="15"/>
        <v>9.375E-2</v>
      </c>
      <c r="I27" s="61">
        <f>SUM(I25:I26)</f>
        <v>6</v>
      </c>
      <c r="J27" s="61">
        <f>SUM(J25:J26)</f>
        <v>4</v>
      </c>
      <c r="K27" s="21">
        <f t="shared" si="16"/>
        <v>0.66666666666666663</v>
      </c>
      <c r="L27" s="61">
        <f>SUM(L25:L26)</f>
        <v>6</v>
      </c>
      <c r="M27" s="21">
        <f>IF(B27=0,0,(D27+L27)/B27)</f>
        <v>0.15625</v>
      </c>
    </row>
    <row r="29" spans="1:13">
      <c r="A29" s="157" t="s">
        <v>630</v>
      </c>
    </row>
    <row r="30" spans="1:13">
      <c r="A30" s="110"/>
      <c r="B30" s="111"/>
      <c r="C30" s="172" t="s">
        <v>109</v>
      </c>
      <c r="D30" s="172"/>
      <c r="E30" s="172"/>
      <c r="F30" s="173"/>
      <c r="G30" s="173"/>
      <c r="H30" s="173"/>
      <c r="I30" s="218" t="s">
        <v>112</v>
      </c>
      <c r="J30" s="219"/>
      <c r="K30" s="220"/>
      <c r="L30" s="176" t="s">
        <v>116</v>
      </c>
      <c r="M30" s="178"/>
    </row>
    <row r="31" spans="1:13">
      <c r="A31" s="112" t="s">
        <v>33</v>
      </c>
      <c r="B31" s="154" t="s">
        <v>627</v>
      </c>
      <c r="C31" s="151" t="s">
        <v>38</v>
      </c>
      <c r="D31" s="151" t="s">
        <v>39</v>
      </c>
      <c r="E31" s="152" t="s">
        <v>110</v>
      </c>
      <c r="F31" s="152" t="s">
        <v>41</v>
      </c>
      <c r="G31" s="152" t="s">
        <v>111</v>
      </c>
      <c r="H31" s="152" t="s">
        <v>42</v>
      </c>
      <c r="I31" s="150" t="s">
        <v>38</v>
      </c>
      <c r="J31" s="150" t="s">
        <v>114</v>
      </c>
      <c r="K31" s="150" t="s">
        <v>41</v>
      </c>
      <c r="L31" s="155" t="s">
        <v>38</v>
      </c>
      <c r="M31" s="109" t="s">
        <v>42</v>
      </c>
    </row>
    <row r="32" spans="1:13">
      <c r="A32" s="149" t="s">
        <v>159</v>
      </c>
      <c r="B32" s="58">
        <f>COUNTIFS(개발일정표!$C:$C,"2차",개발일정표!$A:$A,$A32,개발일정표!$H:$H,"&lt;&gt;삭제")</f>
        <v>11</v>
      </c>
      <c r="C32" s="58">
        <f>COUNTIFS(개발일정표!$C:$C,"2차",개발일정표!$A:$A,$A32,개발일정표!$H:$H,"&lt;&gt;삭제",개발일정표!$J:$J,"&lt;="&amp;$C$1)</f>
        <v>0</v>
      </c>
      <c r="D32" s="58">
        <f>COUNTIFS(개발일정표!$C:$C,"2차",개발일정표!$A:$A,$A32,개발일정표!$H:$H,"&lt;&gt;삭제",개발일정표!$L:$L,"&lt;="&amp;$C$1)</f>
        <v>0</v>
      </c>
      <c r="E32" s="59">
        <f>C32-D32</f>
        <v>0</v>
      </c>
      <c r="F32" s="60">
        <f t="shared" ref="F32:F41" si="26">IF(C32=0,0,D32/C32)</f>
        <v>0</v>
      </c>
      <c r="G32" s="59">
        <f>B32-D32</f>
        <v>11</v>
      </c>
      <c r="H32" s="60">
        <f t="shared" ref="H32:H41" si="27">IF(B32=0,0,D32/B32)</f>
        <v>0</v>
      </c>
      <c r="I32" s="58">
        <f>COUNTIFS(개발일정표!$C:$C,"2차",개발일정표!$A:$A,$A32,개발일정표!$H:$H,"&lt;&gt;삭제",개발일정표!$J:$J,"&gt;="&amp;$I$1,개발일정표!$J:$J,"&lt;="&amp;$C$1)</f>
        <v>0</v>
      </c>
      <c r="J32" s="58">
        <f>COUNTIFS(개발일정표!$C:$C,"2차",개발일정표!$A:$A,$A32,개발일정표!$H:$H,"&lt;&gt;삭제",개발일정표!$L:$L,"&gt;="&amp;$I$1,개발일정표!$L:$L,"&lt;="&amp;$C$1)</f>
        <v>0</v>
      </c>
      <c r="K32" s="60">
        <f t="shared" ref="K32:K41" si="28">IF(I32=0,0,J32/I32)</f>
        <v>0</v>
      </c>
      <c r="L32" s="58">
        <f>COUNTIFS(개발일정표!$C:$C,"2차",개발일정표!$A:$A,$A32,개발일정표!$H:$H,"&lt;&gt;삭제",개발일정표!$J:$J,"&gt;"&amp;$C$1,개발일정표!$J:$J,"&lt;="&amp;$L$1)</f>
        <v>0</v>
      </c>
      <c r="M32" s="60">
        <f>IF(B32=0,0,(C32+L32)/B32)</f>
        <v>0</v>
      </c>
    </row>
    <row r="33" spans="1:13">
      <c r="A33" s="149" t="s">
        <v>119</v>
      </c>
      <c r="B33" s="58">
        <f>COUNTIFS(개발일정표!$C:$C,"2차",개발일정표!$A:$A,$A33,개발일정표!$H:$H,"&lt;&gt;삭제")</f>
        <v>7</v>
      </c>
      <c r="C33" s="58">
        <f>COUNTIFS(개발일정표!$C:$C,"2차",개발일정표!$A:$A,$A33,개발일정표!$H:$H,"&lt;&gt;삭제",개발일정표!$J:$J,"&lt;="&amp;$C$1)</f>
        <v>0</v>
      </c>
      <c r="D33" s="58">
        <f>COUNTIFS(개발일정표!$C:$C,"2차",개발일정표!$A:$A,$A33,개발일정표!$H:$H,"&lt;&gt;삭제",개발일정표!$L:$L,"&lt;="&amp;$C$1)</f>
        <v>0</v>
      </c>
      <c r="E33" s="59">
        <f t="shared" ref="E33:E38" si="29">C33-D33</f>
        <v>0</v>
      </c>
      <c r="F33" s="60">
        <f t="shared" si="26"/>
        <v>0</v>
      </c>
      <c r="G33" s="59">
        <f t="shared" ref="G33:G38" si="30">B33-D33</f>
        <v>7</v>
      </c>
      <c r="H33" s="60">
        <f t="shared" si="27"/>
        <v>0</v>
      </c>
      <c r="I33" s="58">
        <f>COUNTIFS(개발일정표!$C:$C,"2차",개발일정표!$A:$A,$A33,개발일정표!$H:$H,"&lt;&gt;삭제",개발일정표!$J:$J,"&gt;="&amp;$I$1,개발일정표!$J:$J,"&lt;="&amp;$C$1)</f>
        <v>0</v>
      </c>
      <c r="J33" s="58">
        <f>COUNTIFS(개발일정표!$C:$C,"2차",개발일정표!$A:$A,$A33,개발일정표!$H:$H,"&lt;&gt;삭제",개발일정표!$L:$L,"&gt;="&amp;$I$1,개발일정표!$L:$L,"&lt;="&amp;$C$1)</f>
        <v>0</v>
      </c>
      <c r="K33" s="60">
        <f t="shared" si="28"/>
        <v>0</v>
      </c>
      <c r="L33" s="58">
        <f>COUNTIFS(개발일정표!$C:$C,"2차",개발일정표!$A:$A,$A33,개발일정표!$H:$H,"&lt;&gt;삭제",개발일정표!$J:$J,"&gt;"&amp;$C$1,개발일정표!$J:$J,"&lt;="&amp;$L$1)</f>
        <v>0</v>
      </c>
      <c r="M33" s="60">
        <f t="shared" ref="M33:M38" si="31">IF(B33=0,0,(C33+L33)/B33)</f>
        <v>0</v>
      </c>
    </row>
    <row r="34" spans="1:13">
      <c r="A34" s="149" t="s">
        <v>199</v>
      </c>
      <c r="B34" s="58">
        <f>COUNTIFS(개발일정표!$C:$C,"2차",개발일정표!$A:$A,$A34,개발일정표!$H:$H,"&lt;&gt;삭제")</f>
        <v>11</v>
      </c>
      <c r="C34" s="58">
        <f>COUNTIFS(개발일정표!$C:$C,"2차",개발일정표!$A:$A,$A34,개발일정표!$H:$H,"&lt;&gt;삭제",개발일정표!$J:$J,"&lt;="&amp;$C$1)</f>
        <v>0</v>
      </c>
      <c r="D34" s="58">
        <f>COUNTIFS(개발일정표!$C:$C,"2차",개발일정표!$A:$A,$A34,개발일정표!$H:$H,"&lt;&gt;삭제",개발일정표!$L:$L,"&lt;="&amp;$C$1)</f>
        <v>0</v>
      </c>
      <c r="E34" s="59">
        <f t="shared" si="29"/>
        <v>0</v>
      </c>
      <c r="F34" s="60">
        <f t="shared" si="26"/>
        <v>0</v>
      </c>
      <c r="G34" s="59">
        <f t="shared" si="30"/>
        <v>11</v>
      </c>
      <c r="H34" s="60">
        <f t="shared" si="27"/>
        <v>0</v>
      </c>
      <c r="I34" s="58">
        <f>COUNTIFS(개발일정표!$C:$C,"2차",개발일정표!$A:$A,$A34,개발일정표!$H:$H,"&lt;&gt;삭제",개발일정표!$J:$J,"&gt;="&amp;$I$1,개발일정표!$J:$J,"&lt;="&amp;$C$1)</f>
        <v>0</v>
      </c>
      <c r="J34" s="58">
        <f>COUNTIFS(개발일정표!$C:$C,"2차",개발일정표!$A:$A,$A34,개발일정표!$H:$H,"&lt;&gt;삭제",개발일정표!$L:$L,"&gt;="&amp;$I$1,개발일정표!$L:$L,"&lt;="&amp;$C$1)</f>
        <v>0</v>
      </c>
      <c r="K34" s="60">
        <f t="shared" si="28"/>
        <v>0</v>
      </c>
      <c r="L34" s="58">
        <f>COUNTIFS(개발일정표!$C:$C,"2차",개발일정표!$A:$A,$A34,개발일정표!$H:$H,"&lt;&gt;삭제",개발일정표!$J:$J,"&gt;"&amp;$C$1,개발일정표!$J:$J,"&lt;="&amp;$L$1)</f>
        <v>0</v>
      </c>
      <c r="M34" s="60">
        <f t="shared" si="31"/>
        <v>0</v>
      </c>
    </row>
    <row r="35" spans="1:13">
      <c r="A35" s="149" t="s">
        <v>271</v>
      </c>
      <c r="B35" s="58">
        <f>COUNTIFS(개발일정표!$C:$C,"2차",개발일정표!$A:$A,$A35,개발일정표!$H:$H,"&lt;&gt;삭제")</f>
        <v>1</v>
      </c>
      <c r="C35" s="58">
        <f>COUNTIFS(개발일정표!$C:$C,"2차",개발일정표!$A:$A,$A35,개발일정표!$H:$H,"&lt;&gt;삭제",개발일정표!$J:$J,"&lt;="&amp;$C$1)</f>
        <v>0</v>
      </c>
      <c r="D35" s="58">
        <f>COUNTIFS(개발일정표!$C:$C,"2차",개발일정표!$A:$A,$A35,개발일정표!$H:$H,"&lt;&gt;삭제",개발일정표!$L:$L,"&lt;="&amp;$C$1)</f>
        <v>0</v>
      </c>
      <c r="E35" s="59">
        <f t="shared" si="29"/>
        <v>0</v>
      </c>
      <c r="F35" s="60">
        <f t="shared" si="26"/>
        <v>0</v>
      </c>
      <c r="G35" s="59">
        <f t="shared" si="30"/>
        <v>1</v>
      </c>
      <c r="H35" s="60">
        <f t="shared" si="27"/>
        <v>0</v>
      </c>
      <c r="I35" s="58">
        <f>COUNTIFS(개발일정표!$C:$C,"2차",개발일정표!$A:$A,$A35,개발일정표!$H:$H,"&lt;&gt;삭제",개발일정표!$J:$J,"&gt;="&amp;$I$1,개발일정표!$J:$J,"&lt;="&amp;$C$1)</f>
        <v>0</v>
      </c>
      <c r="J35" s="58">
        <f>COUNTIFS(개발일정표!$C:$C,"2차",개발일정표!$A:$A,$A35,개발일정표!$H:$H,"&lt;&gt;삭제",개발일정표!$L:$L,"&gt;="&amp;$I$1,개발일정표!$L:$L,"&lt;="&amp;$C$1)</f>
        <v>0</v>
      </c>
      <c r="K35" s="60">
        <f t="shared" si="28"/>
        <v>0</v>
      </c>
      <c r="L35" s="58">
        <f>COUNTIFS(개발일정표!$C:$C,"2차",개발일정표!$A:$A,$A35,개발일정표!$H:$H,"&lt;&gt;삭제",개발일정표!$J:$J,"&gt;"&amp;$C$1,개발일정표!$J:$J,"&lt;="&amp;$L$1)</f>
        <v>0</v>
      </c>
      <c r="M35" s="60">
        <f t="shared" si="31"/>
        <v>0</v>
      </c>
    </row>
    <row r="36" spans="1:13">
      <c r="A36" s="149" t="s">
        <v>273</v>
      </c>
      <c r="B36" s="58">
        <f>COUNTIFS(개발일정표!$C:$C,"2차",개발일정표!$A:$A,$A36,개발일정표!$H:$H,"&lt;&gt;삭제")</f>
        <v>1</v>
      </c>
      <c r="C36" s="58">
        <f>COUNTIFS(개발일정표!$C:$C,"2차",개발일정표!$A:$A,$A36,개발일정표!$H:$H,"&lt;&gt;삭제",개발일정표!$J:$J,"&lt;="&amp;$C$1)</f>
        <v>0</v>
      </c>
      <c r="D36" s="58">
        <f>COUNTIFS(개발일정표!$C:$C,"2차",개발일정표!$A:$A,$A36,개발일정표!$H:$H,"&lt;&gt;삭제",개발일정표!$L:$L,"&lt;="&amp;$C$1)</f>
        <v>0</v>
      </c>
      <c r="E36" s="59">
        <f t="shared" si="29"/>
        <v>0</v>
      </c>
      <c r="F36" s="60">
        <f t="shared" si="26"/>
        <v>0</v>
      </c>
      <c r="G36" s="59">
        <f t="shared" si="30"/>
        <v>1</v>
      </c>
      <c r="H36" s="60">
        <f t="shared" si="27"/>
        <v>0</v>
      </c>
      <c r="I36" s="58">
        <f>COUNTIFS(개발일정표!$C:$C,"2차",개발일정표!$A:$A,$A36,개발일정표!$H:$H,"&lt;&gt;삭제",개발일정표!$J:$J,"&gt;="&amp;$I$1,개발일정표!$J:$J,"&lt;="&amp;$C$1)</f>
        <v>0</v>
      </c>
      <c r="J36" s="58">
        <f>COUNTIFS(개발일정표!$C:$C,"2차",개발일정표!$A:$A,$A36,개발일정표!$H:$H,"&lt;&gt;삭제",개발일정표!$L:$L,"&gt;="&amp;$I$1,개발일정표!$L:$L,"&lt;="&amp;$C$1)</f>
        <v>0</v>
      </c>
      <c r="K36" s="60">
        <f t="shared" si="28"/>
        <v>0</v>
      </c>
      <c r="L36" s="58">
        <f>COUNTIFS(개발일정표!$C:$C,"2차",개발일정표!$A:$A,$A36,개발일정표!$H:$H,"&lt;&gt;삭제",개발일정표!$J:$J,"&gt;"&amp;$C$1,개발일정표!$J:$J,"&lt;="&amp;$L$1)</f>
        <v>0</v>
      </c>
      <c r="M36" s="60">
        <f t="shared" si="31"/>
        <v>0</v>
      </c>
    </row>
    <row r="37" spans="1:13">
      <c r="A37" s="149" t="s">
        <v>310</v>
      </c>
      <c r="B37" s="58">
        <f>COUNTIFS(개발일정표!$C:$C,"2차",개발일정표!$A:$A,$A37,개발일정표!$H:$H,"&lt;&gt;삭제")</f>
        <v>15</v>
      </c>
      <c r="C37" s="58">
        <f>COUNTIFS(개발일정표!$C:$C,"2차",개발일정표!$A:$A,$A37,개발일정표!$H:$H,"&lt;&gt;삭제",개발일정표!$J:$J,"&lt;="&amp;$C$1)</f>
        <v>0</v>
      </c>
      <c r="D37" s="58">
        <f>COUNTIFS(개발일정표!$C:$C,"2차",개발일정표!$A:$A,$A37,개발일정표!$H:$H,"&lt;&gt;삭제",개발일정표!$L:$L,"&lt;="&amp;$C$1)</f>
        <v>0</v>
      </c>
      <c r="E37" s="59">
        <f t="shared" si="29"/>
        <v>0</v>
      </c>
      <c r="F37" s="60">
        <f t="shared" si="26"/>
        <v>0</v>
      </c>
      <c r="G37" s="59">
        <f t="shared" si="30"/>
        <v>15</v>
      </c>
      <c r="H37" s="60">
        <f t="shared" si="27"/>
        <v>0</v>
      </c>
      <c r="I37" s="58">
        <f>COUNTIFS(개발일정표!$C:$C,"2차",개발일정표!$A:$A,$A37,개발일정표!$H:$H,"&lt;&gt;삭제",개발일정표!$J:$J,"&gt;="&amp;$I$1,개발일정표!$J:$J,"&lt;="&amp;$C$1)</f>
        <v>0</v>
      </c>
      <c r="J37" s="58">
        <f>COUNTIFS(개발일정표!$C:$C,"2차",개발일정표!$A:$A,$A37,개발일정표!$H:$H,"&lt;&gt;삭제",개발일정표!$L:$L,"&gt;="&amp;$I$1,개발일정표!$L:$L,"&lt;="&amp;$C$1)</f>
        <v>0</v>
      </c>
      <c r="K37" s="60">
        <f t="shared" si="28"/>
        <v>0</v>
      </c>
      <c r="L37" s="58">
        <f>COUNTIFS(개발일정표!$C:$C,"2차",개발일정표!$A:$A,$A37,개발일정표!$H:$H,"&lt;&gt;삭제",개발일정표!$J:$J,"&gt;"&amp;$C$1,개발일정표!$J:$J,"&lt;="&amp;$L$1)</f>
        <v>0</v>
      </c>
      <c r="M37" s="60">
        <f t="shared" si="31"/>
        <v>0</v>
      </c>
    </row>
    <row r="38" spans="1:13">
      <c r="A38" s="149" t="s">
        <v>371</v>
      </c>
      <c r="B38" s="58">
        <f>COUNTIFS(개발일정표!$C:$C,"2차",개발일정표!$A:$A,$A38,개발일정표!$H:$H,"&lt;&gt;삭제")</f>
        <v>1</v>
      </c>
      <c r="C38" s="58">
        <f>COUNTIFS(개발일정표!$C:$C,"2차",개발일정표!$A:$A,$A38,개발일정표!$H:$H,"&lt;&gt;삭제",개발일정표!$J:$J,"&lt;="&amp;$C$1)</f>
        <v>0</v>
      </c>
      <c r="D38" s="58">
        <f>COUNTIFS(개발일정표!$C:$C,"2차",개발일정표!$A:$A,$A38,개발일정표!$H:$H,"&lt;&gt;삭제",개발일정표!$L:$L,"&lt;="&amp;$C$1)</f>
        <v>0</v>
      </c>
      <c r="E38" s="59">
        <f t="shared" si="29"/>
        <v>0</v>
      </c>
      <c r="F38" s="60">
        <f t="shared" si="26"/>
        <v>0</v>
      </c>
      <c r="G38" s="59">
        <f t="shared" si="30"/>
        <v>1</v>
      </c>
      <c r="H38" s="60">
        <f t="shared" si="27"/>
        <v>0</v>
      </c>
      <c r="I38" s="58">
        <f>COUNTIFS(개발일정표!$C:$C,"2차",개발일정표!$A:$A,$A38,개발일정표!$H:$H,"&lt;&gt;삭제",개발일정표!$J:$J,"&gt;="&amp;$I$1,개발일정표!$J:$J,"&lt;="&amp;$C$1)</f>
        <v>0</v>
      </c>
      <c r="J38" s="58">
        <f>COUNTIFS(개발일정표!$C:$C,"2차",개발일정표!$A:$A,$A38,개발일정표!$H:$H,"&lt;&gt;삭제",개발일정표!$L:$L,"&gt;="&amp;$I$1,개발일정표!$L:$L,"&lt;="&amp;$C$1)</f>
        <v>0</v>
      </c>
      <c r="K38" s="60">
        <f t="shared" si="28"/>
        <v>0</v>
      </c>
      <c r="L38" s="58">
        <f>COUNTIFS(개발일정표!$C:$C,"2차",개발일정표!$A:$A,$A38,개발일정표!$H:$H,"&lt;&gt;삭제",개발일정표!$J:$J,"&gt;"&amp;$C$1,개발일정표!$J:$J,"&lt;="&amp;$L$1)</f>
        <v>0</v>
      </c>
      <c r="M38" s="60">
        <f t="shared" si="31"/>
        <v>0</v>
      </c>
    </row>
    <row r="39" spans="1:13">
      <c r="A39" s="153" t="s">
        <v>108</v>
      </c>
      <c r="B39" s="61">
        <f>SUM(B32:B38)</f>
        <v>47</v>
      </c>
      <c r="C39" s="61">
        <f t="shared" ref="C39:E39" si="32">SUM(C32:C38)</f>
        <v>0</v>
      </c>
      <c r="D39" s="61">
        <f t="shared" si="32"/>
        <v>0</v>
      </c>
      <c r="E39" s="61">
        <f t="shared" si="32"/>
        <v>0</v>
      </c>
      <c r="F39" s="21">
        <f t="shared" si="26"/>
        <v>0</v>
      </c>
      <c r="G39" s="36">
        <f t="shared" ref="G39" si="33">SUM(G32:G38)</f>
        <v>47</v>
      </c>
      <c r="H39" s="21">
        <f t="shared" si="27"/>
        <v>0</v>
      </c>
      <c r="I39" s="61">
        <f t="shared" ref="I39:J39" si="34">SUM(I32:I38)</f>
        <v>0</v>
      </c>
      <c r="J39" s="61">
        <f t="shared" si="34"/>
        <v>0</v>
      </c>
      <c r="K39" s="21">
        <f t="shared" si="28"/>
        <v>0</v>
      </c>
      <c r="L39" s="61">
        <f t="shared" ref="L39" si="35">SUM(L32:L38)</f>
        <v>0</v>
      </c>
      <c r="M39" s="21">
        <f>IF(B39=0,0,(D39+L39)/B39)</f>
        <v>0</v>
      </c>
    </row>
    <row r="40" spans="1:13">
      <c r="A40" s="149" t="s">
        <v>420</v>
      </c>
      <c r="B40" s="58">
        <f>COUNTIFS(개발일정표!$C:$C,"2차",개발일정표!$A:$A,$A40,개발일정표!$H:$H,"&lt;&gt;삭제")</f>
        <v>0</v>
      </c>
      <c r="C40" s="58">
        <f>COUNTIFS(개발일정표!$C:$C,"2차",개발일정표!$A:$A,$A40,개발일정표!$H:$H,"&lt;&gt;삭제",개발일정표!$J:$J,"&lt;="&amp;$C$1)</f>
        <v>0</v>
      </c>
      <c r="D40" s="58">
        <f>COUNTIFS(개발일정표!$C:$C,"2차",개발일정표!$A:$A,$A40,개발일정표!$H:$H,"&lt;&gt;삭제",개발일정표!$L:$L,"&lt;="&amp;$C$1)</f>
        <v>0</v>
      </c>
      <c r="E40" s="59">
        <f>C40-D40</f>
        <v>0</v>
      </c>
      <c r="F40" s="60">
        <f t="shared" si="26"/>
        <v>0</v>
      </c>
      <c r="G40" s="59">
        <f t="shared" ref="G40" si="36">B40-D40</f>
        <v>0</v>
      </c>
      <c r="H40" s="60">
        <f t="shared" si="27"/>
        <v>0</v>
      </c>
      <c r="I40" s="58">
        <f>COUNTIFS(개발일정표!$C:$C,"2차",개발일정표!$A:$A,$A40,개발일정표!$H:$H,"&lt;&gt;삭제",개발일정표!$J:$J,"&gt;="&amp;$I$1,개발일정표!$J:$J,"&lt;="&amp;$C$1)</f>
        <v>0</v>
      </c>
      <c r="J40" s="58">
        <f>COUNTIFS(개발일정표!$C:$C,"2차",개발일정표!$A:$A,$A40,개발일정표!$H:$H,"&lt;&gt;삭제",개발일정표!$L:$L,"&gt;="&amp;$I$1,개발일정표!$L:$L,"&lt;="&amp;$C$1)</f>
        <v>0</v>
      </c>
      <c r="K40" s="60">
        <f t="shared" si="28"/>
        <v>0</v>
      </c>
      <c r="L40" s="58">
        <f>COUNTIFS(개발일정표!$C:$C,"2차",개발일정표!$A:$A,$A40,개발일정표!$H:$H,"&lt;&gt;삭제",개발일정표!$J:$J,"&gt;"&amp;$C$1,개발일정표!$J:$J,"&lt;="&amp;$L$1)</f>
        <v>0</v>
      </c>
      <c r="M40" s="60">
        <f t="shared" ref="M40" si="37">IF(B40=0,0,(C40+L40)/B40)</f>
        <v>0</v>
      </c>
    </row>
    <row r="41" spans="1:13">
      <c r="A41" s="153" t="s">
        <v>87</v>
      </c>
      <c r="B41" s="61">
        <f>SUM(B39:B40)</f>
        <v>47</v>
      </c>
      <c r="C41" s="61">
        <f>SUM(C39:C40)</f>
        <v>0</v>
      </c>
      <c r="D41" s="61">
        <f>SUM(D39:D40)</f>
        <v>0</v>
      </c>
      <c r="E41" s="61">
        <f>SUM(E39:E40)</f>
        <v>0</v>
      </c>
      <c r="F41" s="21">
        <f t="shared" si="26"/>
        <v>0</v>
      </c>
      <c r="G41" s="36">
        <f>SUM(G39:G40)</f>
        <v>47</v>
      </c>
      <c r="H41" s="21">
        <f t="shared" si="27"/>
        <v>0</v>
      </c>
      <c r="I41" s="61">
        <f>SUM(I39:I40)</f>
        <v>0</v>
      </c>
      <c r="J41" s="61">
        <f>SUM(J39:J40)</f>
        <v>0</v>
      </c>
      <c r="K41" s="21">
        <f t="shared" si="28"/>
        <v>0</v>
      </c>
      <c r="L41" s="61">
        <f>SUM(L39:L40)</f>
        <v>0</v>
      </c>
      <c r="M41" s="21">
        <f>IF(B41=0,0,(D41+L41)/B41)</f>
        <v>0</v>
      </c>
    </row>
  </sheetData>
  <mergeCells count="9">
    <mergeCell ref="C30:H30"/>
    <mergeCell ref="I30:K30"/>
    <mergeCell ref="L30:M30"/>
    <mergeCell ref="L2:M2"/>
    <mergeCell ref="I2:K2"/>
    <mergeCell ref="C2:H2"/>
    <mergeCell ref="C16:H16"/>
    <mergeCell ref="I16:K16"/>
    <mergeCell ref="L16:M16"/>
  </mergeCells>
  <phoneticPr fontId="22" type="noConversion"/>
  <conditionalFormatting sqref="E4:E8 E10">
    <cfRule type="cellIs" dxfId="37" priority="13" stopIfTrue="1" operator="greaterThan">
      <formula>0</formula>
    </cfRule>
  </conditionalFormatting>
  <conditionalFormatting sqref="E12">
    <cfRule type="cellIs" dxfId="36" priority="11" stopIfTrue="1" operator="greaterThan">
      <formula>0</formula>
    </cfRule>
  </conditionalFormatting>
  <conditionalFormatting sqref="E9">
    <cfRule type="cellIs" dxfId="35" priority="7" stopIfTrue="1" operator="greaterThan">
      <formula>0</formula>
    </cfRule>
  </conditionalFormatting>
  <conditionalFormatting sqref="E18:E22 E24">
    <cfRule type="cellIs" dxfId="34" priority="6" stopIfTrue="1" operator="greaterThan">
      <formula>0</formula>
    </cfRule>
  </conditionalFormatting>
  <conditionalFormatting sqref="E26">
    <cfRule type="cellIs" dxfId="33" priority="5" stopIfTrue="1" operator="greaterThan">
      <formula>0</formula>
    </cfRule>
  </conditionalFormatting>
  <conditionalFormatting sqref="E23">
    <cfRule type="cellIs" dxfId="32" priority="4" stopIfTrue="1" operator="greaterThan">
      <formula>0</formula>
    </cfRule>
  </conditionalFormatting>
  <conditionalFormatting sqref="E32:E36 E38">
    <cfRule type="cellIs" dxfId="31" priority="3" stopIfTrue="1" operator="greaterThan">
      <formula>0</formula>
    </cfRule>
  </conditionalFormatting>
  <conditionalFormatting sqref="E40">
    <cfRule type="cellIs" dxfId="30" priority="2" stopIfTrue="1" operator="greaterThan">
      <formula>0</formula>
    </cfRule>
  </conditionalFormatting>
  <conditionalFormatting sqref="E37">
    <cfRule type="cellIs" dxfId="29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zoomScaleNormal="100" zoomScaleSheetLayoutView="100" workbookViewId="0">
      <selection activeCell="E5" sqref="E5"/>
    </sheetView>
  </sheetViews>
  <sheetFormatPr defaultColWidth="10.109375" defaultRowHeight="13.5"/>
  <cols>
    <col min="1" max="1" width="17.109375" style="2" customWidth="1"/>
    <col min="2" max="2" width="8.44140625" style="2" customWidth="1"/>
    <col min="3" max="5" width="6.33203125" style="2" customWidth="1"/>
    <col min="6" max="6" width="7.109375" style="2" hidden="1" customWidth="1"/>
    <col min="7" max="8" width="6.33203125" style="17" customWidth="1"/>
    <col min="9" max="9" width="5.5546875" style="56" customWidth="1"/>
    <col min="10" max="13" width="5.5546875" style="56" hidden="1" customWidth="1"/>
    <col min="14" max="14" width="7.77734375" style="56" hidden="1" customWidth="1"/>
    <col min="15" max="15" width="7.77734375" style="1" hidden="1" customWidth="1"/>
    <col min="16" max="21" width="5.5546875" style="1" hidden="1" customWidth="1"/>
    <col min="22" max="23" width="7.77734375" style="1" hidden="1" customWidth="1"/>
    <col min="24" max="29" width="5.5546875" style="1" hidden="1" customWidth="1"/>
    <col min="30" max="31" width="7.77734375" style="1" hidden="1" customWidth="1"/>
    <col min="32" max="32" width="6.6640625" style="1" hidden="1" customWidth="1"/>
    <col min="33" max="34" width="10.109375" style="137"/>
    <col min="35" max="16384" width="10.109375" style="1"/>
  </cols>
  <sheetData>
    <row r="1" spans="1:34" ht="16.5" customHeight="1">
      <c r="A1" s="4" t="s">
        <v>73</v>
      </c>
      <c r="B1" s="6" t="str">
        <f>개발진척현황!C1</f>
        <v>2017.03.02</v>
      </c>
      <c r="C1" s="6"/>
      <c r="D1" s="5"/>
      <c r="E1" s="5"/>
      <c r="F1" s="5"/>
      <c r="G1" s="7"/>
      <c r="H1" s="8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1:34" ht="13.5" customHeight="1">
      <c r="A2" s="222" t="s">
        <v>475</v>
      </c>
      <c r="B2" s="170" t="s">
        <v>34</v>
      </c>
      <c r="C2" s="227" t="s">
        <v>35</v>
      </c>
      <c r="D2" s="228"/>
      <c r="E2" s="228"/>
      <c r="F2" s="228"/>
      <c r="G2" s="228"/>
      <c r="H2" s="228"/>
      <c r="I2" s="229"/>
      <c r="J2" s="218" t="s">
        <v>36</v>
      </c>
      <c r="K2" s="219"/>
      <c r="L2" s="219"/>
      <c r="M2" s="219"/>
      <c r="N2" s="219"/>
      <c r="O2" s="219"/>
      <c r="P2" s="220"/>
      <c r="Q2" s="176" t="s">
        <v>37</v>
      </c>
      <c r="R2" s="177"/>
      <c r="S2" s="177"/>
      <c r="T2" s="177"/>
      <c r="U2" s="177"/>
      <c r="V2" s="177"/>
      <c r="W2" s="177"/>
      <c r="X2" s="178"/>
      <c r="Y2" s="193" t="s">
        <v>454</v>
      </c>
      <c r="Z2" s="194"/>
      <c r="AA2" s="194"/>
      <c r="AB2" s="194"/>
      <c r="AC2" s="194"/>
      <c r="AD2" s="194"/>
      <c r="AE2" s="194"/>
      <c r="AF2" s="195"/>
    </row>
    <row r="3" spans="1:34" ht="13.5" customHeight="1">
      <c r="A3" s="223"/>
      <c r="B3" s="225"/>
      <c r="C3" s="187" t="s">
        <v>38</v>
      </c>
      <c r="D3" s="187" t="s">
        <v>39</v>
      </c>
      <c r="E3" s="187" t="s">
        <v>40</v>
      </c>
      <c r="F3" s="187" t="s">
        <v>76</v>
      </c>
      <c r="G3" s="188" t="s">
        <v>41</v>
      </c>
      <c r="H3" s="188" t="s">
        <v>42</v>
      </c>
      <c r="I3" s="188" t="s">
        <v>527</v>
      </c>
      <c r="J3" s="185" t="s">
        <v>14</v>
      </c>
      <c r="K3" s="189" t="s">
        <v>43</v>
      </c>
      <c r="L3" s="231"/>
      <c r="M3" s="184" t="s">
        <v>21</v>
      </c>
      <c r="N3" s="185" t="s">
        <v>44</v>
      </c>
      <c r="O3" s="186" t="s">
        <v>45</v>
      </c>
      <c r="P3" s="186" t="s">
        <v>46</v>
      </c>
      <c r="Q3" s="179" t="s">
        <v>47</v>
      </c>
      <c r="R3" s="181" t="s">
        <v>14</v>
      </c>
      <c r="S3" s="182" t="s">
        <v>43</v>
      </c>
      <c r="T3" s="236"/>
      <c r="U3" s="181" t="s">
        <v>21</v>
      </c>
      <c r="V3" s="179" t="s">
        <v>44</v>
      </c>
      <c r="W3" s="180" t="s">
        <v>48</v>
      </c>
      <c r="X3" s="180" t="s">
        <v>49</v>
      </c>
      <c r="Y3" s="159" t="s">
        <v>47</v>
      </c>
      <c r="Z3" s="159" t="s">
        <v>14</v>
      </c>
      <c r="AA3" s="161" t="s">
        <v>43</v>
      </c>
      <c r="AB3" s="240"/>
      <c r="AC3" s="163" t="s">
        <v>21</v>
      </c>
      <c r="AD3" s="163" t="s">
        <v>44</v>
      </c>
      <c r="AE3" s="183" t="s">
        <v>48</v>
      </c>
      <c r="AF3" s="183" t="s">
        <v>49</v>
      </c>
      <c r="AG3" s="139" t="s">
        <v>528</v>
      </c>
      <c r="AH3" s="139" t="s">
        <v>531</v>
      </c>
    </row>
    <row r="4" spans="1:34" ht="13.5" customHeight="1">
      <c r="A4" s="224"/>
      <c r="B4" s="226"/>
      <c r="C4" s="190"/>
      <c r="D4" s="190"/>
      <c r="E4" s="190"/>
      <c r="F4" s="190"/>
      <c r="G4" s="221"/>
      <c r="H4" s="221"/>
      <c r="I4" s="221"/>
      <c r="J4" s="230"/>
      <c r="K4" s="67" t="s">
        <v>50</v>
      </c>
      <c r="L4" s="67" t="s">
        <v>51</v>
      </c>
      <c r="M4" s="232"/>
      <c r="N4" s="230"/>
      <c r="O4" s="233"/>
      <c r="P4" s="233"/>
      <c r="Q4" s="234"/>
      <c r="R4" s="235"/>
      <c r="S4" s="69" t="s">
        <v>50</v>
      </c>
      <c r="T4" s="69" t="s">
        <v>51</v>
      </c>
      <c r="U4" s="235"/>
      <c r="V4" s="234"/>
      <c r="W4" s="237"/>
      <c r="X4" s="237"/>
      <c r="Y4" s="239"/>
      <c r="Z4" s="239"/>
      <c r="AA4" s="68" t="s">
        <v>50</v>
      </c>
      <c r="AB4" s="68" t="s">
        <v>51</v>
      </c>
      <c r="AC4" s="241"/>
      <c r="AD4" s="241"/>
      <c r="AE4" s="238"/>
      <c r="AF4" s="238"/>
      <c r="AG4" s="139" t="s">
        <v>529</v>
      </c>
      <c r="AH4" s="139" t="s">
        <v>530</v>
      </c>
    </row>
    <row r="5" spans="1:34" ht="13.5" customHeight="1">
      <c r="A5" s="131" t="s">
        <v>469</v>
      </c>
      <c r="B5" s="58">
        <f>COUNTIFS(개발일정표!$H:$H,$A5,개발일정표!$H:$H,"&lt;&gt;삭제")</f>
        <v>49</v>
      </c>
      <c r="C5" s="58">
        <f>COUNTIFS(개발일정표!$H:$H,$A5,개발일정표!$H:$H,"&lt;&gt;삭제",개발일정표!$J:$J,"&lt;="&amp;$B$1)</f>
        <v>9</v>
      </c>
      <c r="D5" s="58">
        <f>COUNTIFS(개발일정표!$H:$H,$A5,개발일정표!$H:$H,"&lt;&gt;삭제",개발일정표!$L:$L,"&lt;="&amp;$B$1)</f>
        <v>7</v>
      </c>
      <c r="E5" s="59">
        <f t="shared" ref="E5:E11" si="0">C5-D5</f>
        <v>2</v>
      </c>
      <c r="F5" s="59">
        <f>COUNTIFS(개발일정표!$H:$H,$A5,개발일정표!$H:$H,"&lt;&gt;삭제",개발일정표!$J:$J,"="&amp;$B$1)</f>
        <v>1</v>
      </c>
      <c r="G5" s="60">
        <f>IF(C5=0,0,D5/C5)</f>
        <v>0.77777777777777779</v>
      </c>
      <c r="H5" s="60">
        <f>IF(B5=0,0,D5/B5)</f>
        <v>0.14285714285714285</v>
      </c>
      <c r="I5" s="135">
        <f>SUMIFS(개발일정표!$G:$G,개발일정표!$H:$H,$A5)</f>
        <v>65</v>
      </c>
      <c r="J5" s="58">
        <f>COUNTIFS(개발일정표!$H:$H,$A5,개발일정표!$H:$H,"&lt;&gt;삭제",개발일정표!$M:$M,"&lt;&gt;검수제외",개발일정표!$O:$O,"&lt;="&amp;$B$1)</f>
        <v>0</v>
      </c>
      <c r="K5" s="58">
        <f>COUNTIFS(개발일정표!$H:$H,$A5,개발일정표!$H:$H,"&lt;&gt;삭제",개발일정표!$M:$M,"&lt;&gt;검수제외",개발일정표!$R:$R,"=L3",개발일정표!$Q:$Q,"&lt;="&amp;$B$1)+COUNTIFS(개발일정표!$H:$H,$A5,개발일정표!$H:$H,"&lt;&gt;삭제",개발일정표!$M:$M,"&lt;&gt;검수제외",개발일정표!$R:$R,"=L1",개발일정표!$S:$S,"=Y",개발일정표!$Q:$Q,"&lt;="&amp;$B$1)+COUNTIFS(개발일정표!$H:$H,$A5,개발일정표!$H:$H,"&lt;&gt;삭제",개발일정표!$M:$M,"&lt;&gt;검수제외",개발일정표!$R:$R,"=L2",개발일정표!$S:$S,"=Y",개발일정표!$Q:$Q,"&lt;="&amp;$B$1)</f>
        <v>0</v>
      </c>
      <c r="L5" s="58">
        <f>COUNTIFS(개발일정표!$H:$H,$A5,개발일정표!$H:$H,"&lt;&gt;삭제",개발일정표!$M:$M,"&lt;&gt;검수제외",개발일정표!$R:$R,"=L2")-COUNTIFS(개발일정표!$H:$H,$A5,개발일정표!$H:$H,"&lt;&gt;삭제",개발일정표!$M:$M,"&lt;&gt;검수제외",개발일정표!$R:$R,"=L2",개발일정표!$S:$S,"=Y",개발일정표!$Q:$Q,"&lt;="&amp;$B$1)</f>
        <v>0</v>
      </c>
      <c r="M5" s="59">
        <f t="shared" ref="M5:M11" si="1">J5-(K5+L5)</f>
        <v>0</v>
      </c>
      <c r="N5" s="58">
        <f>COUNTIFS(개발일정표!$H:$H,$A5,개발일정표!$H:$H,"&lt;&gt;삭제",개발일정표!$M:$M,"&lt;&gt;검수제외",개발일정표!$R:$R,"=L1")-COUNTIFS(개발일정표!$H:$H,$A5,개발일정표!$H:$H,"&lt;&gt;삭제",개발일정표!$M:$M,"&lt;&gt;검수제외",개발일정표!$R:$R,"=L1",개발일정표!$S:$S,"=Y",개발일정표!$Q:$Q,"&lt;="&amp;$B$1)</f>
        <v>0</v>
      </c>
      <c r="O5" s="60">
        <f t="shared" ref="O5:O12" si="2">IF(J5=0, 0,(K5+L5)/J5)</f>
        <v>0</v>
      </c>
      <c r="P5" s="60">
        <f t="shared" ref="P5:P12" si="3">IF(B5=0,0,(K5+L5)/B5)</f>
        <v>0</v>
      </c>
      <c r="Q5" s="58">
        <f>COUNTIFS(개발일정표!$H:$H,$A5,개발일정표!$H:$H,"&lt;&gt;삭제",개발일정표!$T:$T,"&lt;&gt;검수제외")</f>
        <v>49</v>
      </c>
      <c r="R5" s="58">
        <f>COUNTIFS(개발일정표!$H:$H,$A5,개발일정표!$H:$H,"&lt;&gt;삭제",개발일정표!$T:$T,"&lt;&gt;검수제외",개발일정표!$V:$V,"&lt;="&amp;$B$1)</f>
        <v>0</v>
      </c>
      <c r="S5" s="58">
        <f>COUNTIFS(개발일정표!$H:$H,$A5,개발일정표!$H:$H,"&lt;&gt;삭제",개발일정표!$T:$T,"&lt;&gt;검수제외",개발일정표!$Y:$Y,"=L3",개발일정표!$X:$X,"&lt;="&amp;$B$1)+COUNTIFS(개발일정표!$H:$H,$A5,개발일정표!$H:$H,"&lt;&gt;삭제",개발일정표!$T:$T,"&lt;&gt;검수제외",개발일정표!$Y:$Y,"=L1",개발일정표!$Z:$Z,"=Y",개발일정표!$X:$X,"&lt;="&amp;$B$1)+COUNTIFS(개발일정표!$H:$H,$A5,개발일정표!$H:$H,"&lt;&gt;삭제",개발일정표!$T:$T,"&lt;&gt;검수제외",개발일정표!$Y:$Y,"=L2",개발일정표!$Z:$Z,"=Y",개발일정표!$X:$X,"&lt;="&amp;$B$1)</f>
        <v>0</v>
      </c>
      <c r="T5" s="58">
        <f>COUNTIFS(개발일정표!$H:$H,$A5,개발일정표!$H:$H,"&lt;&gt;삭제",개발일정표!$T:$T,"&lt;&gt;검수제외",개발일정표!$Y:$Y,"=L2")-COUNTIFS(개발일정표!$H:$H,$A5,개발일정표!$H:$H,"&lt;&gt;삭제",개발일정표!$T:$T,"&lt;&gt;검수제외",개발일정표!$Y:$Y,"=L2",개발일정표!$Z:$Z,"=Y",개발일정표!$X:$X,"&lt;="&amp;$B$1)</f>
        <v>0</v>
      </c>
      <c r="U5" s="59">
        <f t="shared" ref="U5:U11" si="4">R5-(S5+T5)</f>
        <v>0</v>
      </c>
      <c r="V5" s="58">
        <f>COUNTIFS(개발일정표!$H:$H,$A5,개발일정표!$H:$H,"&lt;&gt;삭제",개발일정표!$T:$T,"&lt;&gt;검수제외",개발일정표!$Y:$Y,"=L1")-COUNTIFS(개발일정표!$H:$H,$A5,개발일정표!$H:$H,"&lt;&gt;삭제",개발일정표!$T:$T,"&lt;&gt;검수제외",개발일정표!$Y:$Y,"=L1",개발일정표!$Z:$Z,"=Y",개발일정표!$X:$X,"&lt;="&amp;$B$1)</f>
        <v>0</v>
      </c>
      <c r="W5" s="60">
        <f t="shared" ref="W5:W12" si="5">IF(R5=0, 0,(S5+T5)/R5)</f>
        <v>0</v>
      </c>
      <c r="X5" s="60">
        <f t="shared" ref="X5:X12" si="6">IF(Q5=0,0,(S5+T5)/Q5)</f>
        <v>0</v>
      </c>
      <c r="Y5" s="58">
        <f>COUNTIFS(개발일정표!$H:$H,$A5,개발일정표!$H:$H,"&lt;&gt;삭제",개발일정표!$AA:$AA,"&lt;&gt;검수제외")</f>
        <v>49</v>
      </c>
      <c r="Z5" s="58">
        <f>COUNTIFS(개발일정표!$H:$H,$A5,개발일정표!$H:$H,"&lt;&gt;삭제",개발일정표!$AA:$AA,"&lt;&gt;검수제외",개발일정표!$AC:$AC,"&lt;="&amp;$B$1)</f>
        <v>0</v>
      </c>
      <c r="AA5" s="58">
        <f>COUNTIFS(개발일정표!$H:$H,$A5,개발일정표!$H:$H,"&lt;&gt;삭제",개발일정표!$AA:$AA,"&lt;&gt;검수제외",개발일정표!$AF:$AF,"=L3",개발일정표!$AE:$AE,"&lt;="&amp;$B$1)+COUNTIFS(개발일정표!$H:$H,$A5,개발일정표!$H:$H,"&lt;&gt;삭제",개발일정표!$AA:$AA,"&lt;&gt;검수제외",개발일정표!$AF:$AF,"=L1",개발일정표!$AG:$AG,"=Y",개발일정표!$AE:$AE,"&lt;="&amp;$B$1)+COUNTIFS(개발일정표!$H:$H,$A5,개발일정표!$H:$H,"&lt;&gt;삭제",개발일정표!$AA:$AA,"&lt;&gt;검수제외",개발일정표!$AF:$AF,"=L2",개발일정표!$AG:$AG,"=Y",개발일정표!$AE:$AE,"&lt;="&amp;$B$1)</f>
        <v>0</v>
      </c>
      <c r="AB5" s="58">
        <f>COUNTIFS(개발일정표!$H:$H,$A5,개발일정표!$H:$H,"&lt;&gt;삭제",개발일정표!$AA:$AA,"&lt;&gt;검수제외",개발일정표!$AF:$AF,"=L2")-COUNTIFS(개발일정표!$H:$H,$A5,개발일정표!$H:$H,"&lt;&gt;삭제",개발일정표!$AA:$AA,"&lt;&gt;검수제외",개발일정표!$AF:$AF,"=L2",개발일정표!$AG:$AG,"=Y",개발일정표!$AE:$AE,"&lt;="&amp;$B$1)</f>
        <v>0</v>
      </c>
      <c r="AC5" s="59">
        <f t="shared" ref="AC5:AC11" si="7">Z5-(AA5+AB5)</f>
        <v>0</v>
      </c>
      <c r="AD5" s="58">
        <f>COUNTIFS(개발일정표!$H:$H,$A5,개발일정표!$H:$H,"&lt;&gt;삭제",개발일정표!$AA:$AA,"&lt;&gt;검수제외",개발일정표!$AF:$AF,"=L1")-COUNTIFS(개발일정표!$H:$H,$A5,개발일정표!$H:$H,"&lt;&gt;삭제",개발일정표!$AA:$AA,"&lt;&gt;검수제외",개발일정표!$AF:$AF,"=L1",개발일정표!$AG:$AG,"=Y",개발일정표!$AE:$AE,"&lt;="&amp;$B$1)</f>
        <v>0</v>
      </c>
      <c r="AE5" s="60">
        <f t="shared" ref="AE5:AE11" si="8">IF(Z5=0, 0,(AA5+AB5)/Z5)</f>
        <v>0</v>
      </c>
      <c r="AF5" s="60">
        <f t="shared" ref="AF5:AF12" si="9">IF(Y5=0,0,(AA5+AB5)/Y5)</f>
        <v>0</v>
      </c>
      <c r="AG5" s="138">
        <f>B5/I5</f>
        <v>0.75384615384615383</v>
      </c>
      <c r="AH5" s="138">
        <f>I5/B5</f>
        <v>1.3265306122448979</v>
      </c>
    </row>
    <row r="6" spans="1:34" ht="13.5" customHeight="1">
      <c r="A6" s="131" t="s">
        <v>470</v>
      </c>
      <c r="B6" s="58">
        <f>COUNTIFS(개발일정표!$H:$H,$A6,개발일정표!$H:$H,"&lt;&gt;삭제")</f>
        <v>34</v>
      </c>
      <c r="C6" s="58">
        <f>COUNTIFS(개발일정표!$H:$H,$A6,개발일정표!$H:$H,"&lt;&gt;삭제",개발일정표!$J:$J,"&lt;="&amp;$B$1)</f>
        <v>9</v>
      </c>
      <c r="D6" s="58">
        <f>COUNTIFS(개발일정표!$H:$H,$A6,개발일정표!$H:$H,"&lt;&gt;삭제",개발일정표!$L:$L,"&lt;="&amp;$B$1)</f>
        <v>2</v>
      </c>
      <c r="E6" s="59">
        <f t="shared" si="0"/>
        <v>7</v>
      </c>
      <c r="F6" s="59">
        <f>COUNTIFS(개발일정표!$H:$H,$A6,개발일정표!$H:$H,"&lt;&gt;삭제",개발일정표!$J:$J,"="&amp;$B$1)</f>
        <v>1</v>
      </c>
      <c r="G6" s="60">
        <f t="shared" ref="G6:G12" si="10">IF(C6=0,0,D6/C6)</f>
        <v>0.22222222222222221</v>
      </c>
      <c r="H6" s="60">
        <f t="shared" ref="H6:H12" si="11">IF(B6=0,0,D6/B6)</f>
        <v>5.8823529411764705E-2</v>
      </c>
      <c r="I6" s="135">
        <f>SUMIFS(개발일정표!$G:$G,개발일정표!$H:$H,$A6)</f>
        <v>55</v>
      </c>
      <c r="J6" s="58">
        <f>COUNTIFS(개발일정표!$H:$H,$A6,개발일정표!$H:$H,"&lt;&gt;삭제",개발일정표!$M:$M,"&lt;&gt;검수제외",개발일정표!$O:$O,"&lt;="&amp;$B$1)</f>
        <v>0</v>
      </c>
      <c r="K6" s="58">
        <f>COUNTIFS(개발일정표!$H:$H,$A6,개발일정표!$H:$H,"&lt;&gt;삭제",개발일정표!$M:$M,"&lt;&gt;검수제외",개발일정표!$R:$R,"=L3",개발일정표!$Q:$Q,"&lt;="&amp;$B$1)+COUNTIFS(개발일정표!$H:$H,$A6,개발일정표!$H:$H,"&lt;&gt;삭제",개발일정표!$M:$M,"&lt;&gt;검수제외",개발일정표!$R:$R,"=L1",개발일정표!$S:$S,"=Y",개발일정표!$Q:$Q,"&lt;="&amp;$B$1)+COUNTIFS(개발일정표!$H:$H,$A6,개발일정표!$H:$H,"&lt;&gt;삭제",개발일정표!$M:$M,"&lt;&gt;검수제외",개발일정표!$R:$R,"=L2",개발일정표!$S:$S,"=Y",개발일정표!$Q:$Q,"&lt;="&amp;$B$1)</f>
        <v>0</v>
      </c>
      <c r="L6" s="58">
        <f>COUNTIFS(개발일정표!$H:$H,$A6,개발일정표!$H:$H,"&lt;&gt;삭제",개발일정표!$M:$M,"&lt;&gt;검수제외",개발일정표!$R:$R,"=L2")-COUNTIFS(개발일정표!$H:$H,$A6,개발일정표!$H:$H,"&lt;&gt;삭제",개발일정표!$M:$M,"&lt;&gt;검수제외",개발일정표!$R:$R,"=L2",개발일정표!$S:$S,"=Y",개발일정표!$Q:$Q,"&lt;="&amp;$B$1)</f>
        <v>0</v>
      </c>
      <c r="M6" s="59">
        <f t="shared" si="1"/>
        <v>0</v>
      </c>
      <c r="N6" s="58">
        <f>COUNTIFS(개발일정표!$H:$H,$A6,개발일정표!$H:$H,"&lt;&gt;삭제",개발일정표!$M:$M,"&lt;&gt;검수제외",개발일정표!$R:$R,"=L1")-COUNTIFS(개발일정표!$H:$H,$A6,개발일정표!$H:$H,"&lt;&gt;삭제",개발일정표!$M:$M,"&lt;&gt;검수제외",개발일정표!$R:$R,"=L1",개발일정표!$S:$S,"=Y",개발일정표!$Q:$Q,"&lt;="&amp;$B$1)</f>
        <v>0</v>
      </c>
      <c r="O6" s="60">
        <f t="shared" si="2"/>
        <v>0</v>
      </c>
      <c r="P6" s="60">
        <f t="shared" si="3"/>
        <v>0</v>
      </c>
      <c r="Q6" s="58">
        <f>COUNTIFS(개발일정표!$H:$H,$A6,개발일정표!$H:$H,"&lt;&gt;삭제",개발일정표!$T:$T,"&lt;&gt;검수제외")</f>
        <v>34</v>
      </c>
      <c r="R6" s="58">
        <f>COUNTIFS(개발일정표!$H:$H,$A6,개발일정표!$H:$H,"&lt;&gt;삭제",개발일정표!$T:$T,"&lt;&gt;검수제외",개발일정표!$V:$V,"&lt;="&amp;$B$1)</f>
        <v>0</v>
      </c>
      <c r="S6" s="58">
        <f>COUNTIFS(개발일정표!$H:$H,$A6,개발일정표!$H:$H,"&lt;&gt;삭제",개발일정표!$T:$T,"&lt;&gt;검수제외",개발일정표!$Y:$Y,"=L3",개발일정표!$X:$X,"&lt;="&amp;$B$1)+COUNTIFS(개발일정표!$H:$H,$A6,개발일정표!$H:$H,"&lt;&gt;삭제",개발일정표!$T:$T,"&lt;&gt;검수제외",개발일정표!$Y:$Y,"=L1",개발일정표!$Z:$Z,"=Y",개발일정표!$X:$X,"&lt;="&amp;$B$1)+COUNTIFS(개발일정표!$H:$H,$A6,개발일정표!$H:$H,"&lt;&gt;삭제",개발일정표!$T:$T,"&lt;&gt;검수제외",개발일정표!$Y:$Y,"=L2",개발일정표!$Z:$Z,"=Y",개발일정표!$X:$X,"&lt;="&amp;$B$1)</f>
        <v>0</v>
      </c>
      <c r="T6" s="58">
        <f>COUNTIFS(개발일정표!$H:$H,$A6,개발일정표!$H:$H,"&lt;&gt;삭제",개발일정표!$T:$T,"&lt;&gt;검수제외",개발일정표!$Y:$Y,"=L2")-COUNTIFS(개발일정표!$H:$H,$A6,개발일정표!$H:$H,"&lt;&gt;삭제",개발일정표!$T:$T,"&lt;&gt;검수제외",개발일정표!$Y:$Y,"=L2",개발일정표!$Z:$Z,"=Y",개발일정표!$X:$X,"&lt;="&amp;$B$1)</f>
        <v>0</v>
      </c>
      <c r="U6" s="59">
        <f t="shared" si="4"/>
        <v>0</v>
      </c>
      <c r="V6" s="58">
        <f>COUNTIFS(개발일정표!$H:$H,$A6,개발일정표!$H:$H,"&lt;&gt;삭제",개발일정표!$T:$T,"&lt;&gt;검수제외",개발일정표!$Y:$Y,"=L1")-COUNTIFS(개발일정표!$H:$H,$A6,개발일정표!$H:$H,"&lt;&gt;삭제",개발일정표!$T:$T,"&lt;&gt;검수제외",개발일정표!$Y:$Y,"=L1",개발일정표!$Z:$Z,"=Y",개발일정표!$X:$X,"&lt;="&amp;$B$1)</f>
        <v>0</v>
      </c>
      <c r="W6" s="60">
        <f t="shared" si="5"/>
        <v>0</v>
      </c>
      <c r="X6" s="60">
        <f t="shared" si="6"/>
        <v>0</v>
      </c>
      <c r="Y6" s="58">
        <f>COUNTIFS(개발일정표!$H:$H,$A6,개발일정표!$H:$H,"&lt;&gt;삭제",개발일정표!$AA:$AA,"&lt;&gt;검수제외")</f>
        <v>34</v>
      </c>
      <c r="Z6" s="58">
        <f>COUNTIFS(개발일정표!$H:$H,$A6,개발일정표!$H:$H,"&lt;&gt;삭제",개발일정표!$AA:$AA,"&lt;&gt;검수제외",개발일정표!$AC:$AC,"&lt;="&amp;$B$1)</f>
        <v>0</v>
      </c>
      <c r="AA6" s="58">
        <f>COUNTIFS(개발일정표!$H:$H,$A6,개발일정표!$H:$H,"&lt;&gt;삭제",개발일정표!$AA:$AA,"&lt;&gt;검수제외",개발일정표!$AF:$AF,"=L3",개발일정표!$AE:$AE,"&lt;="&amp;$B$1)+COUNTIFS(개발일정표!$H:$H,$A6,개발일정표!$H:$H,"&lt;&gt;삭제",개발일정표!$AA:$AA,"&lt;&gt;검수제외",개발일정표!$AF:$AF,"=L1",개발일정표!$AG:$AG,"=Y",개발일정표!$AE:$AE,"&lt;="&amp;$B$1)+COUNTIFS(개발일정표!$H:$H,$A6,개발일정표!$H:$H,"&lt;&gt;삭제",개발일정표!$AA:$AA,"&lt;&gt;검수제외",개발일정표!$AF:$AF,"=L2",개발일정표!$AG:$AG,"=Y",개발일정표!$AE:$AE,"&lt;="&amp;$B$1)</f>
        <v>0</v>
      </c>
      <c r="AB6" s="58">
        <f>COUNTIFS(개발일정표!$H:$H,$A6,개발일정표!$H:$H,"&lt;&gt;삭제",개발일정표!$AA:$AA,"&lt;&gt;검수제외",개발일정표!$AF:$AF,"=L2")-COUNTIFS(개발일정표!$H:$H,$A6,개발일정표!$H:$H,"&lt;&gt;삭제",개발일정표!$AA:$AA,"&lt;&gt;검수제외",개발일정표!$AF:$AF,"=L2",개발일정표!$AG:$AG,"=Y",개발일정표!$AE:$AE,"&lt;="&amp;$B$1)</f>
        <v>0</v>
      </c>
      <c r="AC6" s="59">
        <f t="shared" si="7"/>
        <v>0</v>
      </c>
      <c r="AD6" s="58">
        <f>COUNTIFS(개발일정표!$H:$H,$A6,개발일정표!$H:$H,"&lt;&gt;삭제",개발일정표!$AA:$AA,"&lt;&gt;검수제외",개발일정표!$AF:$AF,"=L1")-COUNTIFS(개발일정표!$H:$H,$A6,개발일정표!$H:$H,"&lt;&gt;삭제",개발일정표!$AA:$AA,"&lt;&gt;검수제외",개발일정표!$AF:$AF,"=L1",개발일정표!$AG:$AG,"=Y",개발일정표!$AE:$AE,"&lt;="&amp;$B$1)</f>
        <v>0</v>
      </c>
      <c r="AE6" s="60">
        <f t="shared" si="8"/>
        <v>0</v>
      </c>
      <c r="AF6" s="60">
        <f t="shared" si="9"/>
        <v>0</v>
      </c>
      <c r="AG6" s="138">
        <f t="shared" ref="AG6:AG11" si="12">B6/I6</f>
        <v>0.61818181818181817</v>
      </c>
      <c r="AH6" s="138">
        <f t="shared" ref="AH6:AH11" si="13">I6/B6</f>
        <v>1.6176470588235294</v>
      </c>
    </row>
    <row r="7" spans="1:34" ht="13.5" customHeight="1">
      <c r="A7" s="131" t="s">
        <v>471</v>
      </c>
      <c r="B7" s="58">
        <f>COUNTIFS(개발일정표!$H:$H,$A7,개발일정표!$H:$H,"&lt;&gt;삭제")</f>
        <v>13</v>
      </c>
      <c r="C7" s="58">
        <f>COUNTIFS(개발일정표!$H:$H,$A7,개발일정표!$H:$H,"&lt;&gt;삭제",개발일정표!$J:$J,"&lt;="&amp;$B$1)</f>
        <v>0</v>
      </c>
      <c r="D7" s="58">
        <f>COUNTIFS(개발일정표!$H:$H,$A7,개발일정표!$H:$H,"&lt;&gt;삭제",개발일정표!$L:$L,"&lt;="&amp;$B$1)</f>
        <v>0</v>
      </c>
      <c r="E7" s="59">
        <f t="shared" si="0"/>
        <v>0</v>
      </c>
      <c r="F7" s="59">
        <f>COUNTIFS(개발일정표!$H:$H,$A7,개발일정표!$H:$H,"&lt;&gt;삭제",개발일정표!$J:$J,"="&amp;$B$1)</f>
        <v>0</v>
      </c>
      <c r="G7" s="60">
        <f t="shared" si="10"/>
        <v>0</v>
      </c>
      <c r="H7" s="60">
        <f t="shared" si="11"/>
        <v>0</v>
      </c>
      <c r="I7" s="135">
        <f>SUMIFS(개발일정표!$G:$G,개발일정표!$H:$H,$A7)</f>
        <v>0</v>
      </c>
      <c r="J7" s="58">
        <f>COUNTIFS(개발일정표!$H:$H,$A7,개발일정표!$H:$H,"&lt;&gt;삭제",개발일정표!$M:$M,"&lt;&gt;검수제외",개발일정표!$O:$O,"&lt;="&amp;$B$1)</f>
        <v>0</v>
      </c>
      <c r="K7" s="58">
        <f>COUNTIFS(개발일정표!$H:$H,$A7,개발일정표!$H:$H,"&lt;&gt;삭제",개발일정표!$M:$M,"&lt;&gt;검수제외",개발일정표!$R:$R,"=L3",개발일정표!$Q:$Q,"&lt;="&amp;$B$1)+COUNTIFS(개발일정표!$H:$H,$A7,개발일정표!$H:$H,"&lt;&gt;삭제",개발일정표!$M:$M,"&lt;&gt;검수제외",개발일정표!$R:$R,"=L1",개발일정표!$S:$S,"=Y",개발일정표!$Q:$Q,"&lt;="&amp;$B$1)+COUNTIFS(개발일정표!$H:$H,$A7,개발일정표!$H:$H,"&lt;&gt;삭제",개발일정표!$M:$M,"&lt;&gt;검수제외",개발일정표!$R:$R,"=L2",개발일정표!$S:$S,"=Y",개발일정표!$Q:$Q,"&lt;="&amp;$B$1)</f>
        <v>0</v>
      </c>
      <c r="L7" s="58">
        <f>COUNTIFS(개발일정표!$H:$H,$A7,개발일정표!$H:$H,"&lt;&gt;삭제",개발일정표!$M:$M,"&lt;&gt;검수제외",개발일정표!$R:$R,"=L2")-COUNTIFS(개발일정표!$H:$H,$A7,개발일정표!$H:$H,"&lt;&gt;삭제",개발일정표!$M:$M,"&lt;&gt;검수제외",개발일정표!$R:$R,"=L2",개발일정표!$S:$S,"=Y",개발일정표!$Q:$Q,"&lt;="&amp;$B$1)</f>
        <v>0</v>
      </c>
      <c r="M7" s="59">
        <f t="shared" si="1"/>
        <v>0</v>
      </c>
      <c r="N7" s="58">
        <f>COUNTIFS(개발일정표!$H:$H,$A7,개발일정표!$H:$H,"&lt;&gt;삭제",개발일정표!$M:$M,"&lt;&gt;검수제외",개발일정표!$R:$R,"=L1")-COUNTIFS(개발일정표!$H:$H,$A7,개발일정표!$H:$H,"&lt;&gt;삭제",개발일정표!$M:$M,"&lt;&gt;검수제외",개발일정표!$R:$R,"=L1",개발일정표!$S:$S,"=Y",개발일정표!$Q:$Q,"&lt;="&amp;$B$1)</f>
        <v>0</v>
      </c>
      <c r="O7" s="60">
        <f t="shared" si="2"/>
        <v>0</v>
      </c>
      <c r="P7" s="60">
        <f t="shared" si="3"/>
        <v>0</v>
      </c>
      <c r="Q7" s="58">
        <f>COUNTIFS(개발일정표!$H:$H,$A7,개발일정표!$H:$H,"&lt;&gt;삭제",개발일정표!$T:$T,"&lt;&gt;검수제외")</f>
        <v>13</v>
      </c>
      <c r="R7" s="58">
        <f>COUNTIFS(개발일정표!$H:$H,$A7,개발일정표!$H:$H,"&lt;&gt;삭제",개발일정표!$T:$T,"&lt;&gt;검수제외",개발일정표!$V:$V,"&lt;="&amp;$B$1)</f>
        <v>0</v>
      </c>
      <c r="S7" s="58">
        <f>COUNTIFS(개발일정표!$H:$H,$A7,개발일정표!$H:$H,"&lt;&gt;삭제",개발일정표!$T:$T,"&lt;&gt;검수제외",개발일정표!$Y:$Y,"=L3",개발일정표!$X:$X,"&lt;="&amp;$B$1)+COUNTIFS(개발일정표!$H:$H,$A7,개발일정표!$H:$H,"&lt;&gt;삭제",개발일정표!$T:$T,"&lt;&gt;검수제외",개발일정표!$Y:$Y,"=L1",개발일정표!$Z:$Z,"=Y",개발일정표!$X:$X,"&lt;="&amp;$B$1)+COUNTIFS(개발일정표!$H:$H,$A7,개발일정표!$H:$H,"&lt;&gt;삭제",개발일정표!$T:$T,"&lt;&gt;검수제외",개발일정표!$Y:$Y,"=L2",개발일정표!$Z:$Z,"=Y",개발일정표!$X:$X,"&lt;="&amp;$B$1)</f>
        <v>0</v>
      </c>
      <c r="T7" s="58">
        <f>COUNTIFS(개발일정표!$H:$H,$A7,개발일정표!$H:$H,"&lt;&gt;삭제",개발일정표!$T:$T,"&lt;&gt;검수제외",개발일정표!$Y:$Y,"=L2")-COUNTIFS(개발일정표!$H:$H,$A7,개발일정표!$H:$H,"&lt;&gt;삭제",개발일정표!$T:$T,"&lt;&gt;검수제외",개발일정표!$Y:$Y,"=L2",개발일정표!$Z:$Z,"=Y",개발일정표!$X:$X,"&lt;="&amp;$B$1)</f>
        <v>0</v>
      </c>
      <c r="U7" s="59">
        <f t="shared" si="4"/>
        <v>0</v>
      </c>
      <c r="V7" s="58">
        <f>COUNTIFS(개발일정표!$H:$H,$A7,개발일정표!$H:$H,"&lt;&gt;삭제",개발일정표!$T:$T,"&lt;&gt;검수제외",개발일정표!$Y:$Y,"=L1")-COUNTIFS(개발일정표!$H:$H,$A7,개발일정표!$H:$H,"&lt;&gt;삭제",개발일정표!$T:$T,"&lt;&gt;검수제외",개발일정표!$Y:$Y,"=L1",개발일정표!$Z:$Z,"=Y",개발일정표!$X:$X,"&lt;="&amp;$B$1)</f>
        <v>0</v>
      </c>
      <c r="W7" s="60">
        <f t="shared" si="5"/>
        <v>0</v>
      </c>
      <c r="X7" s="60">
        <f t="shared" si="6"/>
        <v>0</v>
      </c>
      <c r="Y7" s="58">
        <f>COUNTIFS(개발일정표!$H:$H,$A7,개발일정표!$H:$H,"&lt;&gt;삭제",개발일정표!$AA:$AA,"&lt;&gt;검수제외")</f>
        <v>13</v>
      </c>
      <c r="Z7" s="58">
        <f>COUNTIFS(개발일정표!$H:$H,$A7,개발일정표!$H:$H,"&lt;&gt;삭제",개발일정표!$AA:$AA,"&lt;&gt;검수제외",개발일정표!$AC:$AC,"&lt;="&amp;$B$1)</f>
        <v>0</v>
      </c>
      <c r="AA7" s="58">
        <f>COUNTIFS(개발일정표!$H:$H,$A7,개발일정표!$H:$H,"&lt;&gt;삭제",개발일정표!$AA:$AA,"&lt;&gt;검수제외",개발일정표!$AF:$AF,"=L3",개발일정표!$AE:$AE,"&lt;="&amp;$B$1)+COUNTIFS(개발일정표!$H:$H,$A7,개발일정표!$H:$H,"&lt;&gt;삭제",개발일정표!$AA:$AA,"&lt;&gt;검수제외",개발일정표!$AF:$AF,"=L1",개발일정표!$AG:$AG,"=Y",개발일정표!$AE:$AE,"&lt;="&amp;$B$1)+COUNTIFS(개발일정표!$H:$H,$A7,개발일정표!$H:$H,"&lt;&gt;삭제",개발일정표!$AA:$AA,"&lt;&gt;검수제외",개발일정표!$AF:$AF,"=L2",개발일정표!$AG:$AG,"=Y",개발일정표!$AE:$AE,"&lt;="&amp;$B$1)</f>
        <v>0</v>
      </c>
      <c r="AB7" s="58">
        <f>COUNTIFS(개발일정표!$H:$H,$A7,개발일정표!$H:$H,"&lt;&gt;삭제",개발일정표!$AA:$AA,"&lt;&gt;검수제외",개발일정표!$AF:$AF,"=L2")-COUNTIFS(개발일정표!$H:$H,$A7,개발일정표!$H:$H,"&lt;&gt;삭제",개발일정표!$AA:$AA,"&lt;&gt;검수제외",개발일정표!$AF:$AF,"=L2",개발일정표!$AG:$AG,"=Y",개발일정표!$AE:$AE,"&lt;="&amp;$B$1)</f>
        <v>0</v>
      </c>
      <c r="AC7" s="59">
        <f t="shared" si="7"/>
        <v>0</v>
      </c>
      <c r="AD7" s="58">
        <f>COUNTIFS(개발일정표!$H:$H,$A7,개발일정표!$H:$H,"&lt;&gt;삭제",개발일정표!$AA:$AA,"&lt;&gt;검수제외",개발일정표!$AF:$AF,"=L1")-COUNTIFS(개발일정표!$H:$H,$A7,개발일정표!$H:$H,"&lt;&gt;삭제",개발일정표!$AA:$AA,"&lt;&gt;검수제외",개발일정표!$AF:$AF,"=L1",개발일정표!$AG:$AG,"=Y",개발일정표!$AE:$AE,"&lt;="&amp;$B$1)</f>
        <v>0</v>
      </c>
      <c r="AE7" s="60">
        <f t="shared" si="8"/>
        <v>0</v>
      </c>
      <c r="AF7" s="60">
        <f t="shared" si="9"/>
        <v>0</v>
      </c>
      <c r="AG7" s="138"/>
      <c r="AH7" s="138"/>
    </row>
    <row r="8" spans="1:34" s="38" customFormat="1" ht="13.5" customHeight="1">
      <c r="A8" s="129" t="s">
        <v>478</v>
      </c>
      <c r="B8" s="58">
        <f>COUNTIFS(개발일정표!$H:$H,$A8,개발일정표!$H:$H,"&lt;&gt;삭제")</f>
        <v>13</v>
      </c>
      <c r="C8" s="58">
        <f>COUNTIFS(개발일정표!$H:$H,$A8,개발일정표!$H:$H,"&lt;&gt;삭제",개발일정표!$J:$J,"&lt;="&amp;$B$1)</f>
        <v>0</v>
      </c>
      <c r="D8" s="58">
        <f>COUNTIFS(개발일정표!$H:$H,$A8,개발일정표!$H:$H,"&lt;&gt;삭제",개발일정표!$L:$L,"&lt;="&amp;$B$1)</f>
        <v>0</v>
      </c>
      <c r="E8" s="59">
        <f>C8-D8</f>
        <v>0</v>
      </c>
      <c r="F8" s="59">
        <f>COUNTIFS(개발일정표!$H:$H,$A8,개발일정표!$H:$H,"&lt;&gt;삭제",개발일정표!$J:$J,"="&amp;$B$1)</f>
        <v>0</v>
      </c>
      <c r="G8" s="60">
        <f>IF(C8=0,0,D8/C8)</f>
        <v>0</v>
      </c>
      <c r="H8" s="60">
        <f>IF(B8=0,0,D8/B8)</f>
        <v>0</v>
      </c>
      <c r="I8" s="135">
        <f>SUMIFS(개발일정표!$G:$G,개발일정표!$H:$H,$A8)</f>
        <v>13</v>
      </c>
      <c r="J8" s="58">
        <f>COUNTIFS(개발일정표!$H:$H,$A8,개발일정표!$H:$H,"&lt;&gt;삭제",개발일정표!$M:$M,"&lt;&gt;검수제외",개발일정표!$O:$O,"&lt;="&amp;$B$1)</f>
        <v>0</v>
      </c>
      <c r="K8" s="58">
        <f>COUNTIFS(개발일정표!$H:$H,$A8,개발일정표!$H:$H,"&lt;&gt;삭제",개발일정표!$M:$M,"&lt;&gt;검수제외",개발일정표!$R:$R,"=L3",개발일정표!$Q:$Q,"&lt;="&amp;$B$1)+COUNTIFS(개발일정표!$H:$H,$A8,개발일정표!$H:$H,"&lt;&gt;삭제",개발일정표!$M:$M,"&lt;&gt;검수제외",개발일정표!$R:$R,"=L1",개발일정표!$S:$S,"=Y",개발일정표!$Q:$Q,"&lt;="&amp;$B$1)+COUNTIFS(개발일정표!$H:$H,$A8,개발일정표!$H:$H,"&lt;&gt;삭제",개발일정표!$M:$M,"&lt;&gt;검수제외",개발일정표!$R:$R,"=L2",개발일정표!$S:$S,"=Y",개발일정표!$Q:$Q,"&lt;="&amp;$B$1)</f>
        <v>0</v>
      </c>
      <c r="L8" s="58">
        <f>COUNTIFS(개발일정표!$H:$H,$A8,개발일정표!$H:$H,"&lt;&gt;삭제",개발일정표!$M:$M,"&lt;&gt;검수제외",개발일정표!$R:$R,"=L2")-COUNTIFS(개발일정표!$H:$H,$A8,개발일정표!$H:$H,"&lt;&gt;삭제",개발일정표!$M:$M,"&lt;&gt;검수제외",개발일정표!$R:$R,"=L2",개발일정표!$S:$S,"=Y",개발일정표!$Q:$Q,"&lt;="&amp;$B$1)</f>
        <v>0</v>
      </c>
      <c r="M8" s="59">
        <f t="shared" si="1"/>
        <v>0</v>
      </c>
      <c r="N8" s="58">
        <f>COUNTIFS(개발일정표!$H:$H,$A8,개발일정표!$H:$H,"&lt;&gt;삭제",개발일정표!$M:$M,"&lt;&gt;검수제외",개발일정표!$R:$R,"=L1")-COUNTIFS(개발일정표!$H:$H,$A8,개발일정표!$H:$H,"&lt;&gt;삭제",개발일정표!$M:$M,"&lt;&gt;검수제외",개발일정표!$R:$R,"=L1",개발일정표!$S:$S,"=Y",개발일정표!$Q:$Q,"&lt;="&amp;$B$1)</f>
        <v>0</v>
      </c>
      <c r="O8" s="60">
        <f t="shared" si="2"/>
        <v>0</v>
      </c>
      <c r="P8" s="60">
        <f t="shared" si="3"/>
        <v>0</v>
      </c>
      <c r="Q8" s="58">
        <f>COUNTIFS(개발일정표!$H:$H,$A8,개발일정표!$H:$H,"&lt;&gt;삭제",개발일정표!$T:$T,"&lt;&gt;검수제외")</f>
        <v>13</v>
      </c>
      <c r="R8" s="58">
        <f>COUNTIFS(개발일정표!$H:$H,$A8,개발일정표!$H:$H,"&lt;&gt;삭제",개발일정표!$T:$T,"&lt;&gt;검수제외",개발일정표!$V:$V,"&lt;="&amp;$B$1)</f>
        <v>0</v>
      </c>
      <c r="S8" s="58">
        <f>COUNTIFS(개발일정표!$H:$H,$A8,개발일정표!$H:$H,"&lt;&gt;삭제",개발일정표!$T:$T,"&lt;&gt;검수제외",개발일정표!$Y:$Y,"=L3",개발일정표!$X:$X,"&lt;="&amp;$B$1)+COUNTIFS(개발일정표!$H:$H,$A8,개발일정표!$H:$H,"&lt;&gt;삭제",개발일정표!$T:$T,"&lt;&gt;검수제외",개발일정표!$Y:$Y,"=L1",개발일정표!$Z:$Z,"=Y",개발일정표!$X:$X,"&lt;="&amp;$B$1)+COUNTIFS(개발일정표!$H:$H,$A8,개발일정표!$H:$H,"&lt;&gt;삭제",개발일정표!$T:$T,"&lt;&gt;검수제외",개발일정표!$Y:$Y,"=L2",개발일정표!$Z:$Z,"=Y",개발일정표!$X:$X,"&lt;="&amp;$B$1)</f>
        <v>0</v>
      </c>
      <c r="T8" s="58">
        <f>COUNTIFS(개발일정표!$H:$H,$A8,개발일정표!$H:$H,"&lt;&gt;삭제",개발일정표!$T:$T,"&lt;&gt;검수제외",개발일정표!$Y:$Y,"=L2")-COUNTIFS(개발일정표!$H:$H,$A8,개발일정표!$H:$H,"&lt;&gt;삭제",개발일정표!$T:$T,"&lt;&gt;검수제외",개발일정표!$Y:$Y,"=L2",개발일정표!$Z:$Z,"=Y",개발일정표!$X:$X,"&lt;="&amp;$B$1)</f>
        <v>0</v>
      </c>
      <c r="U8" s="59">
        <f t="shared" si="4"/>
        <v>0</v>
      </c>
      <c r="V8" s="58">
        <f>COUNTIFS(개발일정표!$H:$H,$A8,개발일정표!$H:$H,"&lt;&gt;삭제",개발일정표!$T:$T,"&lt;&gt;검수제외",개발일정표!$Y:$Y,"=L1")-COUNTIFS(개발일정표!$H:$H,$A8,개발일정표!$H:$H,"&lt;&gt;삭제",개발일정표!$T:$T,"&lt;&gt;검수제외",개발일정표!$Y:$Y,"=L1",개발일정표!$Z:$Z,"=Y",개발일정표!$X:$X,"&lt;="&amp;$B$1)</f>
        <v>0</v>
      </c>
      <c r="W8" s="60">
        <f t="shared" si="5"/>
        <v>0</v>
      </c>
      <c r="X8" s="60">
        <f t="shared" si="6"/>
        <v>0</v>
      </c>
      <c r="Y8" s="58">
        <f>COUNTIFS(개발일정표!$H:$H,$A8,개발일정표!$H:$H,"&lt;&gt;삭제",개발일정표!$AA:$AA,"&lt;&gt;검수제외")</f>
        <v>13</v>
      </c>
      <c r="Z8" s="58">
        <f>COUNTIFS(개발일정표!$H:$H,$A8,개발일정표!$H:$H,"&lt;&gt;삭제",개발일정표!$AA:$AA,"&lt;&gt;검수제외",개발일정표!$AC:$AC,"&lt;="&amp;$B$1)</f>
        <v>0</v>
      </c>
      <c r="AA8" s="58">
        <f>COUNTIFS(개발일정표!$H:$H,$A8,개발일정표!$H:$H,"&lt;&gt;삭제",개발일정표!$AA:$AA,"&lt;&gt;검수제외",개발일정표!$AF:$AF,"=L3",개발일정표!$AE:$AE,"&lt;="&amp;$B$1)+COUNTIFS(개발일정표!$H:$H,$A8,개발일정표!$H:$H,"&lt;&gt;삭제",개발일정표!$AA:$AA,"&lt;&gt;검수제외",개발일정표!$AF:$AF,"=L1",개발일정표!$AG:$AG,"=Y",개발일정표!$AE:$AE,"&lt;="&amp;$B$1)+COUNTIFS(개발일정표!$H:$H,$A8,개발일정표!$H:$H,"&lt;&gt;삭제",개발일정표!$AA:$AA,"&lt;&gt;검수제외",개발일정표!$AF:$AF,"=L2",개발일정표!$AG:$AG,"=Y",개발일정표!$AE:$AE,"&lt;="&amp;$B$1)</f>
        <v>0</v>
      </c>
      <c r="AB8" s="58">
        <f>COUNTIFS(개발일정표!$H:$H,$A8,개발일정표!$H:$H,"&lt;&gt;삭제",개발일정표!$AA:$AA,"&lt;&gt;검수제외",개발일정표!$AF:$AF,"=L2")-COUNTIFS(개발일정표!$H:$H,$A8,개발일정표!$H:$H,"&lt;&gt;삭제",개발일정표!$AA:$AA,"&lt;&gt;검수제외",개발일정표!$AF:$AF,"=L2",개발일정표!$AG:$AG,"=Y",개발일정표!$AE:$AE,"&lt;="&amp;$B$1)</f>
        <v>0</v>
      </c>
      <c r="AC8" s="59">
        <f t="shared" si="7"/>
        <v>0</v>
      </c>
      <c r="AD8" s="58">
        <f>COUNTIFS(개발일정표!$H:$H,$A8,개발일정표!$H:$H,"&lt;&gt;삭제",개발일정표!$AA:$AA,"&lt;&gt;검수제외",개발일정표!$AF:$AF,"=L1")-COUNTIFS(개발일정표!$H:$H,$A8,개발일정표!$H:$H,"&lt;&gt;삭제",개발일정표!$AA:$AA,"&lt;&gt;검수제외",개발일정표!$AF:$AF,"=L1",개발일정표!$AG:$AG,"=Y",개발일정표!$AE:$AE,"&lt;="&amp;$B$1)</f>
        <v>0</v>
      </c>
      <c r="AE8" s="60">
        <f t="shared" si="8"/>
        <v>0</v>
      </c>
      <c r="AF8" s="60">
        <f t="shared" si="9"/>
        <v>0</v>
      </c>
      <c r="AG8" s="138">
        <f t="shared" si="12"/>
        <v>1</v>
      </c>
      <c r="AH8" s="138">
        <f t="shared" si="13"/>
        <v>1</v>
      </c>
    </row>
    <row r="9" spans="1:34" s="56" customFormat="1" ht="13.5" customHeight="1">
      <c r="A9" s="129" t="s">
        <v>479</v>
      </c>
      <c r="B9" s="58">
        <f>COUNTIFS(개발일정표!$H:$H,$A9,개발일정표!$H:$H,"&lt;&gt;삭제")</f>
        <v>7</v>
      </c>
      <c r="C9" s="58">
        <f>COUNTIFS(개발일정표!$H:$H,$A9,개발일정표!$H:$H,"&lt;&gt;삭제",개발일정표!$J:$J,"&lt;="&amp;$B$1)</f>
        <v>0</v>
      </c>
      <c r="D9" s="58">
        <f>COUNTIFS(개발일정표!$H:$H,$A9,개발일정표!$H:$H,"&lt;&gt;삭제",개발일정표!$L:$L,"&lt;="&amp;$B$1)</f>
        <v>0</v>
      </c>
      <c r="E9" s="59">
        <f>C9-D9</f>
        <v>0</v>
      </c>
      <c r="F9" s="59">
        <f>COUNTIFS(개발일정표!$H:$H,$A9,개발일정표!$H:$H,"&lt;&gt;삭제",개발일정표!$J:$J,"="&amp;$B$1)</f>
        <v>0</v>
      </c>
      <c r="G9" s="60">
        <f>IF(C9=0,0,D9/C9)</f>
        <v>0</v>
      </c>
      <c r="H9" s="60">
        <f>IF(B9=0,0,D9/B9)</f>
        <v>0</v>
      </c>
      <c r="I9" s="135">
        <f>SUMIFS(개발일정표!$G:$G,개발일정표!$H:$H,$A9)</f>
        <v>7</v>
      </c>
      <c r="J9" s="58">
        <f>COUNTIFS(개발일정표!$H:$H,$A9,개발일정표!$H:$H,"&lt;&gt;삭제",개발일정표!$M:$M,"&lt;&gt;검수제외",개발일정표!$O:$O,"&lt;="&amp;$B$1)</f>
        <v>0</v>
      </c>
      <c r="K9" s="58">
        <f>COUNTIFS(개발일정표!$H:$H,$A9,개발일정표!$H:$H,"&lt;&gt;삭제",개발일정표!$M:$M,"&lt;&gt;검수제외",개발일정표!$R:$R,"=L3",개발일정표!$Q:$Q,"&lt;="&amp;$B$1)+COUNTIFS(개발일정표!$H:$H,$A9,개발일정표!$H:$H,"&lt;&gt;삭제",개발일정표!$M:$M,"&lt;&gt;검수제외",개발일정표!$R:$R,"=L1",개발일정표!$S:$S,"=Y",개발일정표!$Q:$Q,"&lt;="&amp;$B$1)+COUNTIFS(개발일정표!$H:$H,$A9,개발일정표!$H:$H,"&lt;&gt;삭제",개발일정표!$M:$M,"&lt;&gt;검수제외",개발일정표!$R:$R,"=L2",개발일정표!$S:$S,"=Y",개발일정표!$Q:$Q,"&lt;="&amp;$B$1)</f>
        <v>0</v>
      </c>
      <c r="L9" s="58">
        <f>COUNTIFS(개발일정표!$H:$H,$A9,개발일정표!$H:$H,"&lt;&gt;삭제",개발일정표!$M:$M,"&lt;&gt;검수제외",개발일정표!$R:$R,"=L2")-COUNTIFS(개발일정표!$H:$H,$A9,개발일정표!$H:$H,"&lt;&gt;삭제",개발일정표!$M:$M,"&lt;&gt;검수제외",개발일정표!$R:$R,"=L2",개발일정표!$S:$S,"=Y",개발일정표!$Q:$Q,"&lt;="&amp;$B$1)</f>
        <v>0</v>
      </c>
      <c r="M9" s="59">
        <f t="shared" ref="M9" si="14">J9-(K9+L9)</f>
        <v>0</v>
      </c>
      <c r="N9" s="58">
        <f>COUNTIFS(개발일정표!$H:$H,$A9,개발일정표!$H:$H,"&lt;&gt;삭제",개발일정표!$M:$M,"&lt;&gt;검수제외",개발일정표!$R:$R,"=L1")-COUNTIFS(개발일정표!$H:$H,$A9,개발일정표!$H:$H,"&lt;&gt;삭제",개발일정표!$M:$M,"&lt;&gt;검수제외",개발일정표!$R:$R,"=L1",개발일정표!$S:$S,"=Y",개발일정표!$Q:$Q,"&lt;="&amp;$B$1)</f>
        <v>0</v>
      </c>
      <c r="O9" s="60">
        <f t="shared" ref="O9" si="15">IF(J9=0, 0,(K9+L9)/J9)</f>
        <v>0</v>
      </c>
      <c r="P9" s="60">
        <f t="shared" si="3"/>
        <v>0</v>
      </c>
      <c r="Q9" s="58">
        <f>COUNTIFS(개발일정표!$H:$H,$A9,개발일정표!$H:$H,"&lt;&gt;삭제",개발일정표!$T:$T,"&lt;&gt;검수제외")</f>
        <v>7</v>
      </c>
      <c r="R9" s="58">
        <f>COUNTIFS(개발일정표!$H:$H,$A9,개발일정표!$H:$H,"&lt;&gt;삭제",개발일정표!$T:$T,"&lt;&gt;검수제외",개발일정표!$V:$V,"&lt;="&amp;$B$1)</f>
        <v>0</v>
      </c>
      <c r="S9" s="58">
        <f>COUNTIFS(개발일정표!$H:$H,$A9,개발일정표!$H:$H,"&lt;&gt;삭제",개발일정표!$T:$T,"&lt;&gt;검수제외",개발일정표!$Y:$Y,"=L3",개발일정표!$X:$X,"&lt;="&amp;$B$1)+COUNTIFS(개발일정표!$H:$H,$A9,개발일정표!$H:$H,"&lt;&gt;삭제",개발일정표!$T:$T,"&lt;&gt;검수제외",개발일정표!$Y:$Y,"=L1",개발일정표!$Z:$Z,"=Y",개발일정표!$X:$X,"&lt;="&amp;$B$1)+COUNTIFS(개발일정표!$H:$H,$A9,개발일정표!$H:$H,"&lt;&gt;삭제",개발일정표!$T:$T,"&lt;&gt;검수제외",개발일정표!$Y:$Y,"=L2",개발일정표!$Z:$Z,"=Y",개발일정표!$X:$X,"&lt;="&amp;$B$1)</f>
        <v>0</v>
      </c>
      <c r="T9" s="58">
        <f>COUNTIFS(개발일정표!$H:$H,$A9,개발일정표!$H:$H,"&lt;&gt;삭제",개발일정표!$T:$T,"&lt;&gt;검수제외",개발일정표!$Y:$Y,"=L2")-COUNTIFS(개발일정표!$H:$H,$A9,개발일정표!$H:$H,"&lt;&gt;삭제",개발일정표!$T:$T,"&lt;&gt;검수제외",개발일정표!$Y:$Y,"=L2",개발일정표!$Z:$Z,"=Y",개발일정표!$X:$X,"&lt;="&amp;$B$1)</f>
        <v>0</v>
      </c>
      <c r="U9" s="59">
        <f t="shared" ref="U9" si="16">R9-(S9+T9)</f>
        <v>0</v>
      </c>
      <c r="V9" s="58">
        <f>COUNTIFS(개발일정표!$H:$H,$A9,개발일정표!$H:$H,"&lt;&gt;삭제",개발일정표!$T:$T,"&lt;&gt;검수제외",개발일정표!$Y:$Y,"=L1")-COUNTIFS(개발일정표!$H:$H,$A9,개발일정표!$H:$H,"&lt;&gt;삭제",개발일정표!$T:$T,"&lt;&gt;검수제외",개발일정표!$Y:$Y,"=L1",개발일정표!$Z:$Z,"=Y",개발일정표!$X:$X,"&lt;="&amp;$B$1)</f>
        <v>0</v>
      </c>
      <c r="W9" s="60">
        <f t="shared" ref="W9" si="17">IF(R9=0, 0,(S9+T9)/R9)</f>
        <v>0</v>
      </c>
      <c r="X9" s="60">
        <f t="shared" ref="X9" si="18">IF(Q9=0,0,(S9+T9)/Q9)</f>
        <v>0</v>
      </c>
      <c r="Y9" s="58">
        <f>COUNTIFS(개발일정표!$H:$H,$A9,개발일정표!$H:$H,"&lt;&gt;삭제",개발일정표!$AA:$AA,"&lt;&gt;검수제외")</f>
        <v>7</v>
      </c>
      <c r="Z9" s="58">
        <f>COUNTIFS(개발일정표!$H:$H,$A9,개발일정표!$H:$H,"&lt;&gt;삭제",개발일정표!$AA:$AA,"&lt;&gt;검수제외",개발일정표!$AC:$AC,"&lt;="&amp;$B$1)</f>
        <v>0</v>
      </c>
      <c r="AA9" s="58">
        <f>COUNTIFS(개발일정표!$H:$H,$A9,개발일정표!$H:$H,"&lt;&gt;삭제",개발일정표!$AA:$AA,"&lt;&gt;검수제외",개발일정표!$AF:$AF,"=L3",개발일정표!$AE:$AE,"&lt;="&amp;$B$1)+COUNTIFS(개발일정표!$H:$H,$A9,개발일정표!$H:$H,"&lt;&gt;삭제",개발일정표!$AA:$AA,"&lt;&gt;검수제외",개발일정표!$AF:$AF,"=L1",개발일정표!$AG:$AG,"=Y",개발일정표!$AE:$AE,"&lt;="&amp;$B$1)+COUNTIFS(개발일정표!$H:$H,$A9,개발일정표!$H:$H,"&lt;&gt;삭제",개발일정표!$AA:$AA,"&lt;&gt;검수제외",개발일정표!$AF:$AF,"=L2",개발일정표!$AG:$AG,"=Y",개발일정표!$AE:$AE,"&lt;="&amp;$B$1)</f>
        <v>0</v>
      </c>
      <c r="AB9" s="58">
        <f>COUNTIFS(개발일정표!$H:$H,$A9,개발일정표!$H:$H,"&lt;&gt;삭제",개발일정표!$AA:$AA,"&lt;&gt;검수제외",개발일정표!$AF:$AF,"=L2")-COUNTIFS(개발일정표!$H:$H,$A9,개발일정표!$H:$H,"&lt;&gt;삭제",개발일정표!$AA:$AA,"&lt;&gt;검수제외",개발일정표!$AF:$AF,"=L2",개발일정표!$AG:$AG,"=Y",개발일정표!$AE:$AE,"&lt;="&amp;$B$1)</f>
        <v>0</v>
      </c>
      <c r="AC9" s="59">
        <f t="shared" ref="AC9" si="19">Z9-(AA9+AB9)</f>
        <v>0</v>
      </c>
      <c r="AD9" s="58">
        <f>COUNTIFS(개발일정표!$H:$H,$A9,개발일정표!$H:$H,"&lt;&gt;삭제",개발일정표!$AA:$AA,"&lt;&gt;검수제외",개발일정표!$AF:$AF,"=L1")-COUNTIFS(개발일정표!$H:$H,$A9,개발일정표!$H:$H,"&lt;&gt;삭제",개발일정표!$AA:$AA,"&lt;&gt;검수제외",개발일정표!$AF:$AF,"=L1",개발일정표!$AG:$AG,"=Y",개발일정표!$AE:$AE,"&lt;="&amp;$B$1)</f>
        <v>0</v>
      </c>
      <c r="AE9" s="60">
        <f t="shared" ref="AE9" si="20">IF(Z9=0, 0,(AA9+AB9)/Z9)</f>
        <v>0</v>
      </c>
      <c r="AF9" s="60">
        <f t="shared" ref="AF9" si="21">IF(Y9=0,0,(AA9+AB9)/Y9)</f>
        <v>0</v>
      </c>
      <c r="AG9" s="138">
        <f t="shared" si="12"/>
        <v>1</v>
      </c>
      <c r="AH9" s="138">
        <f t="shared" si="13"/>
        <v>1</v>
      </c>
    </row>
    <row r="10" spans="1:34" s="38" customFormat="1" ht="13.5" customHeight="1">
      <c r="A10" s="130" t="s">
        <v>622</v>
      </c>
      <c r="B10" s="58">
        <f>COUNTIFS(개발일정표!$H:$H,$A10,개발일정표!$H:$H,"&lt;&gt;삭제")</f>
        <v>15</v>
      </c>
      <c r="C10" s="58">
        <f>COUNTIFS(개발일정표!$H:$H,$A10,개발일정표!$H:$H,"&lt;&gt;삭제",개발일정표!$J:$J,"&lt;="&amp;$B$1)</f>
        <v>0</v>
      </c>
      <c r="D10" s="58">
        <f>COUNTIFS(개발일정표!$H:$H,$A10,개발일정표!$H:$H,"&lt;&gt;삭제",개발일정표!$L:$L,"&lt;="&amp;$B$1)</f>
        <v>0</v>
      </c>
      <c r="E10" s="59">
        <f>C10-D10</f>
        <v>0</v>
      </c>
      <c r="F10" s="59">
        <f>COUNTIFS(개발일정표!$H:$H,$A10,개발일정표!$H:$H,"&lt;&gt;삭제",개발일정표!$J:$J,"="&amp;$B$1)</f>
        <v>0</v>
      </c>
      <c r="G10" s="60">
        <f>IF(C10=0,0,D10/C10)</f>
        <v>0</v>
      </c>
      <c r="H10" s="60">
        <f>IF(B10=0,0,D10/B10)</f>
        <v>0</v>
      </c>
      <c r="I10" s="135">
        <f>SUMIFS(개발일정표!$G:$G,개발일정표!$H:$H,$A10)</f>
        <v>15</v>
      </c>
      <c r="J10" s="58">
        <f>COUNTIFS(개발일정표!$H:$H,$A10,개발일정표!$H:$H,"&lt;&gt;삭제",개발일정표!$M:$M,"&lt;&gt;검수제외",개발일정표!$O:$O,"&lt;="&amp;$B$1)</f>
        <v>0</v>
      </c>
      <c r="K10" s="58">
        <f>COUNTIFS(개발일정표!$H:$H,$A10,개발일정표!$H:$H,"&lt;&gt;삭제",개발일정표!$M:$M,"&lt;&gt;검수제외",개발일정표!$R:$R,"=L3",개발일정표!$Q:$Q,"&lt;="&amp;$B$1)+COUNTIFS(개발일정표!$H:$H,$A10,개발일정표!$H:$H,"&lt;&gt;삭제",개발일정표!$M:$M,"&lt;&gt;검수제외",개발일정표!$R:$R,"=L1",개발일정표!$S:$S,"=Y",개발일정표!$Q:$Q,"&lt;="&amp;$B$1)+COUNTIFS(개발일정표!$H:$H,$A10,개발일정표!$H:$H,"&lt;&gt;삭제",개발일정표!$M:$M,"&lt;&gt;검수제외",개발일정표!$R:$R,"=L2",개발일정표!$S:$S,"=Y",개발일정표!$Q:$Q,"&lt;="&amp;$B$1)</f>
        <v>0</v>
      </c>
      <c r="L10" s="58">
        <f>COUNTIFS(개발일정표!$H:$H,$A10,개발일정표!$H:$H,"&lt;&gt;삭제",개발일정표!$M:$M,"&lt;&gt;검수제외",개발일정표!$R:$R,"=L2")-COUNTIFS(개발일정표!$H:$H,$A10,개발일정표!$H:$H,"&lt;&gt;삭제",개발일정표!$M:$M,"&lt;&gt;검수제외",개발일정표!$R:$R,"=L2",개발일정표!$S:$S,"=Y",개발일정표!$Q:$Q,"&lt;="&amp;$B$1)</f>
        <v>0</v>
      </c>
      <c r="M10" s="59">
        <f t="shared" si="1"/>
        <v>0</v>
      </c>
      <c r="N10" s="58">
        <f>COUNTIFS(개발일정표!$H:$H,$A10,개발일정표!$H:$H,"&lt;&gt;삭제",개발일정표!$M:$M,"&lt;&gt;검수제외",개발일정표!$R:$R,"=L1")-COUNTIFS(개발일정표!$H:$H,$A10,개발일정표!$H:$H,"&lt;&gt;삭제",개발일정표!$M:$M,"&lt;&gt;검수제외",개발일정표!$R:$R,"=L1",개발일정표!$S:$S,"=Y",개발일정표!$Q:$Q,"&lt;="&amp;$B$1)</f>
        <v>0</v>
      </c>
      <c r="O10" s="60">
        <f t="shared" si="2"/>
        <v>0</v>
      </c>
      <c r="P10" s="60">
        <f t="shared" si="3"/>
        <v>0</v>
      </c>
      <c r="Q10" s="58">
        <f>COUNTIFS(개발일정표!$H:$H,$A10,개발일정표!$H:$H,"&lt;&gt;삭제",개발일정표!$T:$T,"&lt;&gt;검수제외")</f>
        <v>15</v>
      </c>
      <c r="R10" s="58">
        <f>COUNTIFS(개발일정표!$H:$H,$A10,개발일정표!$H:$H,"&lt;&gt;삭제",개발일정표!$T:$T,"&lt;&gt;검수제외",개발일정표!$V:$V,"&lt;="&amp;$B$1)</f>
        <v>0</v>
      </c>
      <c r="S10" s="58">
        <f>COUNTIFS(개발일정표!$H:$H,$A10,개발일정표!$H:$H,"&lt;&gt;삭제",개발일정표!$T:$T,"&lt;&gt;검수제외",개발일정표!$Y:$Y,"=L3",개발일정표!$X:$X,"&lt;="&amp;$B$1)+COUNTIFS(개발일정표!$H:$H,$A10,개발일정표!$H:$H,"&lt;&gt;삭제",개발일정표!$T:$T,"&lt;&gt;검수제외",개발일정표!$Y:$Y,"=L1",개발일정표!$Z:$Z,"=Y",개발일정표!$X:$X,"&lt;="&amp;$B$1)+COUNTIFS(개발일정표!$H:$H,$A10,개발일정표!$H:$H,"&lt;&gt;삭제",개발일정표!$T:$T,"&lt;&gt;검수제외",개발일정표!$Y:$Y,"=L2",개발일정표!$Z:$Z,"=Y",개발일정표!$X:$X,"&lt;="&amp;$B$1)</f>
        <v>0</v>
      </c>
      <c r="T10" s="58">
        <f>COUNTIFS(개발일정표!$H:$H,$A10,개발일정표!$H:$H,"&lt;&gt;삭제",개발일정표!$T:$T,"&lt;&gt;검수제외",개발일정표!$Y:$Y,"=L2")-COUNTIFS(개발일정표!$H:$H,$A10,개발일정표!$H:$H,"&lt;&gt;삭제",개발일정표!$T:$T,"&lt;&gt;검수제외",개발일정표!$Y:$Y,"=L2",개발일정표!$Z:$Z,"=Y",개발일정표!$X:$X,"&lt;="&amp;$B$1)</f>
        <v>0</v>
      </c>
      <c r="U10" s="59">
        <f t="shared" si="4"/>
        <v>0</v>
      </c>
      <c r="V10" s="58">
        <f>COUNTIFS(개발일정표!$H:$H,$A10,개발일정표!$H:$H,"&lt;&gt;삭제",개발일정표!$T:$T,"&lt;&gt;검수제외",개발일정표!$Y:$Y,"=L1")-COUNTIFS(개발일정표!$H:$H,$A10,개발일정표!$H:$H,"&lt;&gt;삭제",개발일정표!$T:$T,"&lt;&gt;검수제외",개발일정표!$Y:$Y,"=L1",개발일정표!$Z:$Z,"=Y",개발일정표!$X:$X,"&lt;="&amp;$B$1)</f>
        <v>0</v>
      </c>
      <c r="W10" s="60">
        <f t="shared" si="5"/>
        <v>0</v>
      </c>
      <c r="X10" s="60">
        <f t="shared" si="6"/>
        <v>0</v>
      </c>
      <c r="Y10" s="58">
        <f>COUNTIFS(개발일정표!$H:$H,$A10,개발일정표!$H:$H,"&lt;&gt;삭제",개발일정표!$AA:$AA,"&lt;&gt;검수제외")</f>
        <v>15</v>
      </c>
      <c r="Z10" s="58">
        <f>COUNTIFS(개발일정표!$H:$H,$A10,개발일정표!$H:$H,"&lt;&gt;삭제",개발일정표!$AA:$AA,"&lt;&gt;검수제외",개발일정표!$AC:$AC,"&lt;="&amp;$B$1)</f>
        <v>0</v>
      </c>
      <c r="AA10" s="58">
        <f>COUNTIFS(개발일정표!$H:$H,$A10,개발일정표!$H:$H,"&lt;&gt;삭제",개발일정표!$AA:$AA,"&lt;&gt;검수제외",개발일정표!$AF:$AF,"=L3",개발일정표!$AE:$AE,"&lt;="&amp;$B$1)+COUNTIFS(개발일정표!$H:$H,$A10,개발일정표!$H:$H,"&lt;&gt;삭제",개발일정표!$AA:$AA,"&lt;&gt;검수제외",개발일정표!$AF:$AF,"=L1",개발일정표!$AG:$AG,"=Y",개발일정표!$AE:$AE,"&lt;="&amp;$B$1)+COUNTIFS(개발일정표!$H:$H,$A10,개발일정표!$H:$H,"&lt;&gt;삭제",개발일정표!$AA:$AA,"&lt;&gt;검수제외",개발일정표!$AF:$AF,"=L2",개발일정표!$AG:$AG,"=Y",개발일정표!$AE:$AE,"&lt;="&amp;$B$1)</f>
        <v>0</v>
      </c>
      <c r="AB10" s="58">
        <f>COUNTIFS(개발일정표!$H:$H,$A10,개발일정표!$H:$H,"&lt;&gt;삭제",개발일정표!$AA:$AA,"&lt;&gt;검수제외",개발일정표!$AF:$AF,"=L2")-COUNTIFS(개발일정표!$H:$H,$A10,개발일정표!$H:$H,"&lt;&gt;삭제",개발일정표!$AA:$AA,"&lt;&gt;검수제외",개발일정표!$AF:$AF,"=L2",개발일정표!$AG:$AG,"=Y",개발일정표!$AE:$AE,"&lt;="&amp;$B$1)</f>
        <v>0</v>
      </c>
      <c r="AC10" s="59">
        <f t="shared" si="7"/>
        <v>0</v>
      </c>
      <c r="AD10" s="58">
        <f>COUNTIFS(개발일정표!$H:$H,$A10,개발일정표!$H:$H,"&lt;&gt;삭제",개발일정표!$AA:$AA,"&lt;&gt;검수제외",개발일정표!$AF:$AF,"=L1")-COUNTIFS(개발일정표!$H:$H,$A10,개발일정표!$H:$H,"&lt;&gt;삭제",개발일정표!$AA:$AA,"&lt;&gt;검수제외",개발일정표!$AF:$AF,"=L1",개발일정표!$AG:$AG,"=Y",개발일정표!$AE:$AE,"&lt;="&amp;$B$1)</f>
        <v>0</v>
      </c>
      <c r="AE10" s="60">
        <f t="shared" si="8"/>
        <v>0</v>
      </c>
      <c r="AF10" s="60">
        <f t="shared" si="9"/>
        <v>0</v>
      </c>
      <c r="AG10" s="138">
        <f t="shared" si="12"/>
        <v>1</v>
      </c>
      <c r="AH10" s="138">
        <f t="shared" si="13"/>
        <v>1</v>
      </c>
    </row>
    <row r="11" spans="1:34" ht="13.5" customHeight="1">
      <c r="A11" s="130" t="s">
        <v>623</v>
      </c>
      <c r="B11" s="58">
        <f>COUNTIFS(개발일정표!$H:$H,$A11,개발일정표!$H:$H,"&lt;&gt;삭제")</f>
        <v>12</v>
      </c>
      <c r="C11" s="58">
        <f>COUNTIFS(개발일정표!$H:$H,$A11,개발일정표!$H:$H,"&lt;&gt;삭제",개발일정표!$J:$J,"&lt;="&amp;$B$1)</f>
        <v>0</v>
      </c>
      <c r="D11" s="58">
        <f>COUNTIFS(개발일정표!$H:$H,$A11,개발일정표!$H:$H,"&lt;&gt;삭제",개발일정표!$L:$L,"&lt;="&amp;$B$1)</f>
        <v>0</v>
      </c>
      <c r="E11" s="59">
        <f t="shared" si="0"/>
        <v>0</v>
      </c>
      <c r="F11" s="59">
        <f>COUNTIFS(개발일정표!$H:$H,$A11,개발일정표!$H:$H,"&lt;&gt;삭제",개발일정표!$J:$J,"="&amp;$B$1)</f>
        <v>0</v>
      </c>
      <c r="G11" s="60">
        <f t="shared" si="10"/>
        <v>0</v>
      </c>
      <c r="H11" s="60">
        <f t="shared" si="11"/>
        <v>0</v>
      </c>
      <c r="I11" s="135">
        <f>SUMIFS(개발일정표!$G:$G,개발일정표!$H:$H,$A11)</f>
        <v>12</v>
      </c>
      <c r="J11" s="58">
        <f>COUNTIFS(개발일정표!$H:$H,$A11,개발일정표!$H:$H,"&lt;&gt;삭제",개발일정표!$M:$M,"&lt;&gt;검수제외",개발일정표!$O:$O,"&lt;="&amp;$B$1)</f>
        <v>0</v>
      </c>
      <c r="K11" s="58">
        <f>COUNTIFS(개발일정표!$H:$H,$A11,개발일정표!$H:$H,"&lt;&gt;삭제",개발일정표!$M:$M,"&lt;&gt;검수제외",개발일정표!$R:$R,"=L3",개발일정표!$Q:$Q,"&lt;="&amp;$B$1)+COUNTIFS(개발일정표!$H:$H,$A11,개발일정표!$H:$H,"&lt;&gt;삭제",개발일정표!$M:$M,"&lt;&gt;검수제외",개발일정표!$R:$R,"=L1",개발일정표!$S:$S,"=Y",개발일정표!$Q:$Q,"&lt;="&amp;$B$1)+COUNTIFS(개발일정표!$H:$H,$A11,개발일정표!$H:$H,"&lt;&gt;삭제",개발일정표!$M:$M,"&lt;&gt;검수제외",개발일정표!$R:$R,"=L2",개발일정표!$S:$S,"=Y",개발일정표!$Q:$Q,"&lt;="&amp;$B$1)</f>
        <v>0</v>
      </c>
      <c r="L11" s="58">
        <f>COUNTIFS(개발일정표!$H:$H,$A11,개발일정표!$H:$H,"&lt;&gt;삭제",개발일정표!$M:$M,"&lt;&gt;검수제외",개발일정표!$R:$R,"=L2")-COUNTIFS(개발일정표!$H:$H,$A11,개발일정표!$H:$H,"&lt;&gt;삭제",개발일정표!$M:$M,"&lt;&gt;검수제외",개발일정표!$R:$R,"=L2",개발일정표!$S:$S,"=Y",개발일정표!$Q:$Q,"&lt;="&amp;$B$1)</f>
        <v>0</v>
      </c>
      <c r="M11" s="59">
        <f t="shared" si="1"/>
        <v>0</v>
      </c>
      <c r="N11" s="58">
        <f>COUNTIFS(개발일정표!$H:$H,$A11,개발일정표!$H:$H,"&lt;&gt;삭제",개발일정표!$M:$M,"&lt;&gt;검수제외",개발일정표!$R:$R,"=L1")-COUNTIFS(개발일정표!$H:$H,$A11,개발일정표!$H:$H,"&lt;&gt;삭제",개발일정표!$M:$M,"&lt;&gt;검수제외",개발일정표!$R:$R,"=L1",개발일정표!$S:$S,"=Y",개발일정표!$Q:$Q,"&lt;="&amp;$B$1)</f>
        <v>0</v>
      </c>
      <c r="O11" s="60">
        <f t="shared" si="2"/>
        <v>0</v>
      </c>
      <c r="P11" s="60">
        <f t="shared" si="3"/>
        <v>0</v>
      </c>
      <c r="Q11" s="58">
        <f>COUNTIFS(개발일정표!$H:$H,$A11,개발일정표!$H:$H,"&lt;&gt;삭제",개발일정표!$T:$T,"&lt;&gt;검수제외")</f>
        <v>12</v>
      </c>
      <c r="R11" s="58">
        <f>COUNTIFS(개발일정표!$H:$H,$A11,개발일정표!$H:$H,"&lt;&gt;삭제",개발일정표!$T:$T,"&lt;&gt;검수제외",개발일정표!$V:$V,"&lt;="&amp;$B$1)</f>
        <v>0</v>
      </c>
      <c r="S11" s="58">
        <f>COUNTIFS(개발일정표!$H:$H,$A11,개발일정표!$H:$H,"&lt;&gt;삭제",개발일정표!$T:$T,"&lt;&gt;검수제외",개발일정표!$Y:$Y,"=L3",개발일정표!$X:$X,"&lt;="&amp;$B$1)+COUNTIFS(개발일정표!$H:$H,$A11,개발일정표!$H:$H,"&lt;&gt;삭제",개발일정표!$T:$T,"&lt;&gt;검수제외",개발일정표!$Y:$Y,"=L1",개발일정표!$Z:$Z,"=Y",개발일정표!$X:$X,"&lt;="&amp;$B$1)+COUNTIFS(개발일정표!$H:$H,$A11,개발일정표!$H:$H,"&lt;&gt;삭제",개발일정표!$T:$T,"&lt;&gt;검수제외",개발일정표!$Y:$Y,"=L2",개발일정표!$Z:$Z,"=Y",개발일정표!$X:$X,"&lt;="&amp;$B$1)</f>
        <v>0</v>
      </c>
      <c r="T11" s="58">
        <f>COUNTIFS(개발일정표!$H:$H,$A11,개발일정표!$H:$H,"&lt;&gt;삭제",개발일정표!$T:$T,"&lt;&gt;검수제외",개발일정표!$Y:$Y,"=L2")-COUNTIFS(개발일정표!$H:$H,$A11,개발일정표!$H:$H,"&lt;&gt;삭제",개발일정표!$T:$T,"&lt;&gt;검수제외",개발일정표!$Y:$Y,"=L2",개발일정표!$Z:$Z,"=Y",개발일정표!$X:$X,"&lt;="&amp;$B$1)</f>
        <v>0</v>
      </c>
      <c r="U11" s="59">
        <f t="shared" si="4"/>
        <v>0</v>
      </c>
      <c r="V11" s="58">
        <f>COUNTIFS(개발일정표!$H:$H,$A11,개발일정표!$H:$H,"&lt;&gt;삭제",개발일정표!$T:$T,"&lt;&gt;검수제외",개발일정표!$Y:$Y,"=L1")-COUNTIFS(개발일정표!$H:$H,$A11,개발일정표!$H:$H,"&lt;&gt;삭제",개발일정표!$T:$T,"&lt;&gt;검수제외",개발일정표!$Y:$Y,"=L1",개발일정표!$Z:$Z,"=Y",개발일정표!$X:$X,"&lt;="&amp;$B$1)</f>
        <v>0</v>
      </c>
      <c r="W11" s="60">
        <f t="shared" si="5"/>
        <v>0</v>
      </c>
      <c r="X11" s="60">
        <f t="shared" si="6"/>
        <v>0</v>
      </c>
      <c r="Y11" s="58">
        <f>COUNTIFS(개발일정표!$H:$H,$A11,개발일정표!$H:$H,"&lt;&gt;삭제",개발일정표!$AA:$AA,"&lt;&gt;검수제외")</f>
        <v>12</v>
      </c>
      <c r="Z11" s="58">
        <f>COUNTIFS(개발일정표!$H:$H,$A11,개발일정표!$H:$H,"&lt;&gt;삭제",개발일정표!$AA:$AA,"&lt;&gt;검수제외",개발일정표!$AC:$AC,"&lt;="&amp;$B$1)</f>
        <v>0</v>
      </c>
      <c r="AA11" s="58">
        <f>COUNTIFS(개발일정표!$H:$H,$A11,개발일정표!$H:$H,"&lt;&gt;삭제",개발일정표!$AA:$AA,"&lt;&gt;검수제외",개발일정표!$AF:$AF,"=L3",개발일정표!$AE:$AE,"&lt;="&amp;$B$1)+COUNTIFS(개발일정표!$H:$H,$A11,개발일정표!$H:$H,"&lt;&gt;삭제",개발일정표!$AA:$AA,"&lt;&gt;검수제외",개발일정표!$AF:$AF,"=L1",개발일정표!$AG:$AG,"=Y",개발일정표!$AE:$AE,"&lt;="&amp;$B$1)+COUNTIFS(개발일정표!$H:$H,$A11,개발일정표!$H:$H,"&lt;&gt;삭제",개발일정표!$AA:$AA,"&lt;&gt;검수제외",개발일정표!$AF:$AF,"=L2",개발일정표!$AG:$AG,"=Y",개발일정표!$AE:$AE,"&lt;="&amp;$B$1)</f>
        <v>0</v>
      </c>
      <c r="AB11" s="58">
        <f>COUNTIFS(개발일정표!$H:$H,$A11,개발일정표!$H:$H,"&lt;&gt;삭제",개발일정표!$AA:$AA,"&lt;&gt;검수제외",개발일정표!$AF:$AF,"=L2")-COUNTIFS(개발일정표!$H:$H,$A11,개발일정표!$H:$H,"&lt;&gt;삭제",개발일정표!$AA:$AA,"&lt;&gt;검수제외",개발일정표!$AF:$AF,"=L2",개발일정표!$AG:$AG,"=Y",개발일정표!$AE:$AE,"&lt;="&amp;$B$1)</f>
        <v>0</v>
      </c>
      <c r="AC11" s="59">
        <f t="shared" si="7"/>
        <v>0</v>
      </c>
      <c r="AD11" s="58">
        <f>COUNTIFS(개발일정표!$H:$H,$A11,개발일정표!$H:$H,"&lt;&gt;삭제",개발일정표!$AA:$AA,"&lt;&gt;검수제외",개발일정표!$AF:$AF,"=L1")-COUNTIFS(개발일정표!$H:$H,$A11,개발일정표!$H:$H,"&lt;&gt;삭제",개발일정표!$AA:$AA,"&lt;&gt;검수제외",개발일정표!$AF:$AF,"=L1",개발일정표!$AG:$AG,"=Y",개발일정표!$AE:$AE,"&lt;="&amp;$B$1)</f>
        <v>0</v>
      </c>
      <c r="AE11" s="60">
        <f t="shared" si="8"/>
        <v>0</v>
      </c>
      <c r="AF11" s="60">
        <f t="shared" si="9"/>
        <v>0</v>
      </c>
      <c r="AG11" s="138">
        <f t="shared" si="12"/>
        <v>1</v>
      </c>
      <c r="AH11" s="138">
        <f t="shared" si="13"/>
        <v>1</v>
      </c>
    </row>
    <row r="12" spans="1:34" ht="13.5" customHeight="1">
      <c r="A12" s="15" t="s">
        <v>474</v>
      </c>
      <c r="B12" s="61">
        <f>SUM(B5:B11)</f>
        <v>143</v>
      </c>
      <c r="C12" s="61">
        <f>SUM(C5:C11)</f>
        <v>18</v>
      </c>
      <c r="D12" s="61">
        <f>SUM(D5:D11)</f>
        <v>9</v>
      </c>
      <c r="E12" s="61">
        <f>SUM(E5:E11)</f>
        <v>9</v>
      </c>
      <c r="F12" s="61">
        <f>SUM(F5:F11)</f>
        <v>2</v>
      </c>
      <c r="G12" s="21">
        <f t="shared" si="10"/>
        <v>0.5</v>
      </c>
      <c r="H12" s="21">
        <f t="shared" si="11"/>
        <v>6.2937062937062943E-2</v>
      </c>
      <c r="I12" s="136">
        <f t="shared" ref="I12:N12" si="22">SUM(I5:I11)</f>
        <v>167</v>
      </c>
      <c r="J12" s="20">
        <f t="shared" si="22"/>
        <v>0</v>
      </c>
      <c r="K12" s="20">
        <f t="shared" si="22"/>
        <v>0</v>
      </c>
      <c r="L12" s="20">
        <f t="shared" si="22"/>
        <v>0</v>
      </c>
      <c r="M12" s="20">
        <f t="shared" si="22"/>
        <v>0</v>
      </c>
      <c r="N12" s="20">
        <f t="shared" si="22"/>
        <v>0</v>
      </c>
      <c r="O12" s="21">
        <f t="shared" si="2"/>
        <v>0</v>
      </c>
      <c r="P12" s="21">
        <f t="shared" si="3"/>
        <v>0</v>
      </c>
      <c r="Q12" s="20">
        <f t="shared" ref="Q12:V12" si="23">SUM(Q5:Q11)</f>
        <v>143</v>
      </c>
      <c r="R12" s="20">
        <f t="shared" si="23"/>
        <v>0</v>
      </c>
      <c r="S12" s="20">
        <f t="shared" si="23"/>
        <v>0</v>
      </c>
      <c r="T12" s="20">
        <f t="shared" si="23"/>
        <v>0</v>
      </c>
      <c r="U12" s="20">
        <f t="shared" si="23"/>
        <v>0</v>
      </c>
      <c r="V12" s="20">
        <f t="shared" si="23"/>
        <v>0</v>
      </c>
      <c r="W12" s="21">
        <f t="shared" si="5"/>
        <v>0</v>
      </c>
      <c r="X12" s="21">
        <f t="shared" si="6"/>
        <v>0</v>
      </c>
      <c r="Y12" s="20">
        <f t="shared" ref="Y12:AD12" si="24">SUM(Y5:Y11)</f>
        <v>143</v>
      </c>
      <c r="Z12" s="20">
        <f t="shared" si="24"/>
        <v>0</v>
      </c>
      <c r="AA12" s="20">
        <f t="shared" si="24"/>
        <v>0</v>
      </c>
      <c r="AB12" s="20">
        <f t="shared" si="24"/>
        <v>0</v>
      </c>
      <c r="AC12" s="20">
        <f t="shared" si="24"/>
        <v>0</v>
      </c>
      <c r="AD12" s="20">
        <f t="shared" si="24"/>
        <v>0</v>
      </c>
      <c r="AE12" s="21">
        <f>IF(Z12=0,0,(AA12+AB12)/Z12)</f>
        <v>0</v>
      </c>
      <c r="AF12" s="21">
        <f t="shared" si="9"/>
        <v>0</v>
      </c>
    </row>
    <row r="13" spans="1:34" s="56" customFormat="1">
      <c r="A13" s="2"/>
      <c r="B13" s="2"/>
      <c r="C13" s="2"/>
      <c r="D13" s="2"/>
      <c r="E13" s="2"/>
      <c r="F13" s="2"/>
      <c r="G13" s="17"/>
      <c r="H13" s="17"/>
      <c r="K13" s="70"/>
      <c r="L13" s="2"/>
      <c r="M13" s="70"/>
      <c r="N13" s="71"/>
      <c r="O13" s="71"/>
      <c r="P13" s="72"/>
      <c r="Q13" s="72"/>
      <c r="R13" s="72"/>
      <c r="S13" s="73"/>
      <c r="T13" s="72"/>
      <c r="U13" s="73"/>
      <c r="V13" s="71"/>
      <c r="W13" s="71"/>
      <c r="X13" s="72"/>
      <c r="Y13" s="72"/>
      <c r="Z13" s="72"/>
      <c r="AA13" s="73"/>
      <c r="AB13" s="72"/>
      <c r="AC13" s="73"/>
      <c r="AD13" s="71"/>
      <c r="AE13" s="71"/>
      <c r="AG13" s="137"/>
      <c r="AH13" s="137"/>
    </row>
    <row r="14" spans="1:34" ht="17.25" hidden="1">
      <c r="A14" s="4" t="s">
        <v>106</v>
      </c>
      <c r="B14" s="6" t="str">
        <f>개발진척현황!C1</f>
        <v>2017.03.02</v>
      </c>
      <c r="C14" s="5"/>
      <c r="D14" s="5"/>
      <c r="E14" s="5"/>
      <c r="F14" s="5"/>
      <c r="G14" s="7"/>
      <c r="H14" s="8"/>
    </row>
    <row r="15" spans="1:34" hidden="1">
      <c r="A15" s="222" t="s">
        <v>524</v>
      </c>
      <c r="B15" s="170" t="s">
        <v>34</v>
      </c>
      <c r="C15" s="218" t="s">
        <v>77</v>
      </c>
      <c r="D15" s="219"/>
      <c r="E15" s="219"/>
      <c r="F15" s="219"/>
      <c r="G15" s="219"/>
      <c r="H15" s="219"/>
      <c r="I15" s="220"/>
      <c r="K15" s="1"/>
      <c r="L15" s="1"/>
      <c r="M15" s="1"/>
      <c r="N15" s="1"/>
    </row>
    <row r="16" spans="1:34" ht="6.75" hidden="1" customHeight="1">
      <c r="A16" s="223"/>
      <c r="B16" s="171"/>
      <c r="C16" s="174" t="s">
        <v>38</v>
      </c>
      <c r="D16" s="174" t="s">
        <v>39</v>
      </c>
      <c r="E16" s="174" t="s">
        <v>40</v>
      </c>
      <c r="F16" s="174" t="s">
        <v>76</v>
      </c>
      <c r="G16" s="251" t="s">
        <v>41</v>
      </c>
      <c r="H16" s="251" t="s">
        <v>42</v>
      </c>
      <c r="I16" s="252" t="s">
        <v>80</v>
      </c>
      <c r="K16" s="1"/>
      <c r="L16" s="1"/>
      <c r="M16" s="1"/>
      <c r="N16" s="1"/>
    </row>
    <row r="17" spans="1:34" ht="6.75" hidden="1" customHeight="1">
      <c r="A17" s="224"/>
      <c r="B17" s="160"/>
      <c r="C17" s="250"/>
      <c r="D17" s="250"/>
      <c r="E17" s="250"/>
      <c r="F17" s="174"/>
      <c r="G17" s="250"/>
      <c r="H17" s="250"/>
      <c r="I17" s="253"/>
      <c r="K17" s="1"/>
      <c r="L17" s="1"/>
      <c r="M17" s="1"/>
      <c r="N17" s="1"/>
    </row>
    <row r="18" spans="1:34" hidden="1">
      <c r="A18" s="44"/>
      <c r="B18" s="39">
        <f>COUNTIFS(개발일정표!$M:$M,$A18,개발일정표!$H:$H,"&lt;&gt;삭제",개발일정표!$M:$M,"&lt;&gt;검수제외")</f>
        <v>0</v>
      </c>
      <c r="C18" s="58">
        <f>COUNTIFS(개발일정표!$M:$M,$A18,개발일정표!$H:$H,"&lt;&gt;삭제",개발일정표!$M:$M,"&lt;&gt;검수제외",개발일정표!$O:$O,"&lt;="&amp;$B$14)</f>
        <v>0</v>
      </c>
      <c r="D18" s="58">
        <f>COUNTIFS(개발일정표!$M:$M,$A18,개발일정표!$H:$H,"&lt;&gt;삭제",개발일정표!$M:$M,"&lt;&gt;검수제외",개발일정표!$R:$R,"=L3")+COUNTIFS(개발일정표!$M:$M,$A18,개발일정표!$H:$H,"&lt;&gt;삭제",개발일정표!$M:$M,"&lt;&gt;검수제외",개발일정표!$R:$R,"=L2")+COUNTIFS(개발일정표!$M:$M,$A18,개발일정표!$H:$H,"&lt;&gt;삭제",개발일정표!$M:$M,"&lt;&gt;검수제외",개발일정표!$R:$R,"=L1",개발일정표!$S:$S,"=Y",개발일정표!$Q:$Q,"&lt;="&amp;$B$14)</f>
        <v>0</v>
      </c>
      <c r="E18" s="59">
        <f t="shared" ref="E18:E21" si="25">C18-D18</f>
        <v>0</v>
      </c>
      <c r="F18" s="59">
        <f>COUNTIFS(개발일정표!$H:$H,$A18,개발일정표!$H:$H,"&lt;&gt;삭제",개발일정표!$J:$J,"="&amp;$B$1)</f>
        <v>0</v>
      </c>
      <c r="G18" s="60">
        <f>IF(C18=0,0,D18/C18)</f>
        <v>0</v>
      </c>
      <c r="H18" s="60">
        <f>IF(B18=0,0,D18/B18)</f>
        <v>0</v>
      </c>
      <c r="I18" s="59">
        <f>COUNTIFS(개발일정표!$M:$M,$A18,개발일정표!$H:$H,"&lt;&gt;삭제",개발일정표!$M:$M,"&lt;&gt;검수제외",개발일정표!$R:$R,"=L1",개발일정표!$S:$S,"&lt;&gt;Y")</f>
        <v>0</v>
      </c>
      <c r="K18" s="1"/>
      <c r="L18" s="1"/>
      <c r="M18" s="1"/>
      <c r="N18" s="1"/>
    </row>
    <row r="19" spans="1:34" hidden="1">
      <c r="A19" s="44"/>
      <c r="B19" s="39">
        <f>COUNTIFS(개발일정표!$A:$A,#REF!,개발일정표!$M:$M,$A19,개발일정표!$H:$H,"&lt;&gt;삭제",개발일정표!$M:$M,"&lt;&gt;검수제외")</f>
        <v>0</v>
      </c>
      <c r="C19" s="58">
        <f>COUNTIFS(개발일정표!$A:$A,#REF!,개발일정표!$M:$M,$A19,개발일정표!$H:$H,"&lt;&gt;삭제",개발일정표!$M:$M,"&lt;&gt;검수제외",개발일정표!$O:$O,"&lt;="&amp;$B$14)</f>
        <v>0</v>
      </c>
      <c r="D19" s="58">
        <f>COUNTIFS(개발일정표!$A:$A,#REF!,개발일정표!$M:$M,$A19,개발일정표!$H:$H,"&lt;&gt;삭제",개발일정표!$M:$M,"&lt;&gt;검수제외",개발일정표!$R:$R,"=L3")+COUNTIFS(개발일정표!$A:$A,#REF!,개발일정표!$M:$M,$A19,개발일정표!$H:$H,"&lt;&gt;삭제",개발일정표!$M:$M,"&lt;&gt;검수제외",개발일정표!$R:$R,"=L2")+COUNTIFS(개발일정표!$A:$A,#REF!,개발일정표!$M:$M,$A19,개발일정표!$H:$H,"&lt;&gt;삭제",개발일정표!$M:$M,"&lt;&gt;검수제외",개발일정표!$R:$R,"=L1",개발일정표!$S:$S,"=Y",개발일정표!$Q:$Q,"&lt;="&amp;$B$14)</f>
        <v>0</v>
      </c>
      <c r="E19" s="59">
        <f t="shared" si="25"/>
        <v>0</v>
      </c>
      <c r="F19" s="59">
        <f>COUNTIFS(개발일정표!$H:$H,$A19,개발일정표!$H:$H,"&lt;&gt;삭제",개발일정표!$J:$J,"="&amp;$B$1)</f>
        <v>0</v>
      </c>
      <c r="G19" s="60">
        <f t="shared" ref="G19:G20" si="26">IF(C19=0,0,D19/C19)</f>
        <v>0</v>
      </c>
      <c r="H19" s="60">
        <f t="shared" ref="H19:H20" si="27">IF(B19=0,0,D19/B19)</f>
        <v>0</v>
      </c>
      <c r="I19" s="59">
        <f>COUNTIFS(개발일정표!$A:$A,#REF!,개발일정표!$M:$M,$A19,개발일정표!$H:$H,"&lt;&gt;삭제",개발일정표!$M:$M,"&lt;&gt;검수제외",개발일정표!$R:$R,"=L1",개발일정표!$S:$S,"&lt;&gt;Y")</f>
        <v>0</v>
      </c>
      <c r="K19" s="1"/>
      <c r="L19" s="1"/>
      <c r="M19" s="1"/>
      <c r="N19" s="1"/>
    </row>
    <row r="20" spans="1:34" hidden="1">
      <c r="A20" s="44"/>
      <c r="B20" s="39">
        <f>COUNTIFS(개발일정표!$A:$A,#REF!,개발일정표!$M:$M,$A20,개발일정표!$H:$H,"&lt;&gt;삭제",개발일정표!$M:$M,"&lt;&gt;검수제외")</f>
        <v>0</v>
      </c>
      <c r="C20" s="58">
        <f>COUNTIFS(개발일정표!$A:$A,#REF!,개발일정표!$M:$M,$A20,개발일정표!$H:$H,"&lt;&gt;삭제",개발일정표!$M:$M,"&lt;&gt;검수제외",개발일정표!$O:$O,"&lt;="&amp;$B$14)</f>
        <v>0</v>
      </c>
      <c r="D20" s="58">
        <f>COUNTIFS(개발일정표!$A:$A,#REF!,개발일정표!$M:$M,$A20,개발일정표!$H:$H,"&lt;&gt;삭제",개발일정표!$M:$M,"&lt;&gt;검수제외",개발일정표!$R:$R,"=L3")+COUNTIFS(개발일정표!$A:$A,#REF!,개발일정표!$M:$M,$A20,개발일정표!$H:$H,"&lt;&gt;삭제",개발일정표!$M:$M,"&lt;&gt;검수제외",개발일정표!$R:$R,"=L2")+COUNTIFS(개발일정표!$A:$A,#REF!,개발일정표!$M:$M,$A20,개발일정표!$H:$H,"&lt;&gt;삭제",개발일정표!$M:$M,"&lt;&gt;검수제외",개발일정표!$R:$R,"=L1",개발일정표!$S:$S,"=Y",개발일정표!$Q:$Q,"&lt;="&amp;$B$14)</f>
        <v>0</v>
      </c>
      <c r="E20" s="59">
        <f t="shared" si="25"/>
        <v>0</v>
      </c>
      <c r="F20" s="59">
        <f>COUNTIFS(개발일정표!$H:$H,$A20,개발일정표!$H:$H,"&lt;&gt;삭제",개발일정표!$J:$J,"="&amp;$B$1)</f>
        <v>0</v>
      </c>
      <c r="G20" s="60">
        <f t="shared" si="26"/>
        <v>0</v>
      </c>
      <c r="H20" s="60">
        <f t="shared" si="27"/>
        <v>0</v>
      </c>
      <c r="I20" s="59">
        <f>COUNTIFS(개발일정표!$A:$A,#REF!,개발일정표!$M:$M,$A20,개발일정표!$H:$H,"&lt;&gt;삭제",개발일정표!$M:$M,"&lt;&gt;검수제외",개발일정표!$R:$R,"=L1",개발일정표!$S:$S,"&lt;&gt;Y")</f>
        <v>0</v>
      </c>
      <c r="K20" s="1"/>
      <c r="L20" s="1"/>
      <c r="M20" s="1"/>
      <c r="N20" s="1"/>
    </row>
    <row r="21" spans="1:34" s="56" customFormat="1" hidden="1">
      <c r="A21" s="75"/>
      <c r="B21" s="58">
        <f>COUNTIFS(개발일정표!$A:$A,#REF!,개발일정표!$M:$M,$A21,개발일정표!$H:$H,"&lt;&gt;삭제",개발일정표!$M:$M,"&lt;&gt;검수제외")</f>
        <v>0</v>
      </c>
      <c r="C21" s="58">
        <f>COUNTIFS(개발일정표!$A:$A,#REF!,개발일정표!$M:$M,$A21,개발일정표!$H:$H,"&lt;&gt;삭제",개발일정표!$M:$M,"&lt;&gt;검수제외",개발일정표!$O:$O,"&lt;="&amp;$B$14)</f>
        <v>0</v>
      </c>
      <c r="D21" s="58">
        <f>COUNTIFS(개발일정표!$A:$A,#REF!,개발일정표!$M:$M,$A21,개발일정표!$H:$H,"&lt;&gt;삭제",개발일정표!$M:$M,"&lt;&gt;검수제외",개발일정표!$R:$R,"=L3")+COUNTIFS(개발일정표!$A:$A,#REF!,개발일정표!$M:$M,$A21,개발일정표!$H:$H,"&lt;&gt;삭제",개발일정표!$M:$M,"&lt;&gt;검수제외",개발일정표!$R:$R,"=L2")+COUNTIFS(개발일정표!$A:$A,#REF!,개발일정표!$M:$M,$A21,개발일정표!$H:$H,"&lt;&gt;삭제",개발일정표!$M:$M,"&lt;&gt;검수제외",개발일정표!$R:$R,"=L1",개발일정표!$S:$S,"=Y",개발일정표!$Q:$Q,"&lt;="&amp;$B$14)</f>
        <v>0</v>
      </c>
      <c r="E21" s="59">
        <f t="shared" si="25"/>
        <v>0</v>
      </c>
      <c r="F21" s="59">
        <f>COUNTIFS(개발일정표!$H:$H,$A21,개발일정표!$H:$H,"&lt;&gt;삭제",개발일정표!$J:$J,"="&amp;$B$1)</f>
        <v>0</v>
      </c>
      <c r="G21" s="60">
        <f>IF(C21=0,0,D21/C21)</f>
        <v>0</v>
      </c>
      <c r="H21" s="60">
        <f>IF(B21=0,0,D21/B21)</f>
        <v>0</v>
      </c>
      <c r="I21" s="59">
        <f>COUNTIFS(개발일정표!$A:$A,#REF!,개발일정표!$M:$M,$A21,개발일정표!$H:$H,"&lt;&gt;삭제",개발일정표!$M:$M,"&lt;&gt;검수제외",개발일정표!$R:$R,"=L1",개발일정표!$S:$S,"&lt;&gt;Y")</f>
        <v>0</v>
      </c>
      <c r="AG21" s="137"/>
      <c r="AH21" s="137"/>
    </row>
    <row r="22" spans="1:34" s="56" customFormat="1" hidden="1">
      <c r="A22" s="15" t="s">
        <v>474</v>
      </c>
      <c r="B22" s="61">
        <f>SUM(B16:B21)</f>
        <v>0</v>
      </c>
      <c r="C22" s="61">
        <f>SUM(C16:C21)</f>
        <v>0</v>
      </c>
      <c r="D22" s="61">
        <f>SUM(D16:D21)</f>
        <v>0</v>
      </c>
      <c r="E22" s="61">
        <f>SUM(E16:E21)</f>
        <v>0</v>
      </c>
      <c r="F22" s="61">
        <f>SUM(F16:F21)</f>
        <v>0</v>
      </c>
      <c r="G22" s="21">
        <f>IF(C22=0,0,D22/C22)</f>
        <v>0</v>
      </c>
      <c r="H22" s="21">
        <f>IF(B22=0,0,D22/B22)</f>
        <v>0</v>
      </c>
      <c r="I22" s="61">
        <f>SUM(I16:I21)</f>
        <v>0</v>
      </c>
      <c r="AG22" s="137"/>
      <c r="AH22" s="137"/>
    </row>
    <row r="23" spans="1:34" ht="8.25" hidden="1" customHeight="1"/>
    <row r="24" spans="1:34" ht="17.25" hidden="1">
      <c r="A24" s="4" t="s">
        <v>78</v>
      </c>
      <c r="B24" s="6" t="str">
        <f>개발진척현황!C1</f>
        <v>2017.03.02</v>
      </c>
      <c r="C24" s="5"/>
      <c r="D24" s="5"/>
      <c r="E24" s="5"/>
      <c r="F24" s="5"/>
      <c r="G24" s="7"/>
      <c r="H24" s="8"/>
    </row>
    <row r="25" spans="1:34" hidden="1">
      <c r="A25" s="222" t="s">
        <v>525</v>
      </c>
      <c r="B25" s="170" t="s">
        <v>34</v>
      </c>
      <c r="C25" s="176" t="s">
        <v>79</v>
      </c>
      <c r="D25" s="177"/>
      <c r="E25" s="177"/>
      <c r="F25" s="177"/>
      <c r="G25" s="177"/>
      <c r="H25" s="177"/>
      <c r="I25" s="178"/>
    </row>
    <row r="26" spans="1:34" ht="6" hidden="1" customHeight="1">
      <c r="A26" s="223"/>
      <c r="B26" s="171"/>
      <c r="C26" s="247" t="s">
        <v>38</v>
      </c>
      <c r="D26" s="247" t="s">
        <v>39</v>
      </c>
      <c r="E26" s="247" t="s">
        <v>40</v>
      </c>
      <c r="F26" s="247" t="s">
        <v>76</v>
      </c>
      <c r="G26" s="249" t="s">
        <v>41</v>
      </c>
      <c r="H26" s="249" t="s">
        <v>42</v>
      </c>
      <c r="I26" s="242" t="s">
        <v>81</v>
      </c>
    </row>
    <row r="27" spans="1:34" ht="6" hidden="1" customHeight="1">
      <c r="A27" s="224"/>
      <c r="B27" s="160"/>
      <c r="C27" s="248"/>
      <c r="D27" s="248"/>
      <c r="E27" s="248"/>
      <c r="F27" s="247"/>
      <c r="G27" s="248"/>
      <c r="H27" s="248"/>
      <c r="I27" s="243"/>
    </row>
    <row r="28" spans="1:34" hidden="1">
      <c r="A28" s="54"/>
      <c r="B28" s="45">
        <f>COUNTIFS(개발일정표!$T:$T,$A28,개발일정표!$H:$H,"&lt;&gt;삭제",개발일정표!$T:$T,"&lt;&gt;검수제외")</f>
        <v>0</v>
      </c>
      <c r="C28" s="58">
        <f>COUNTIFS(개발일정표!$T:$T,$A28,개발일정표!$H:$H,"&lt;&gt;삭제",개발일정표!$T:$T,"&lt;&gt;검수제외",개발일정표!$V:$V,"&lt;="&amp;$B$24)</f>
        <v>0</v>
      </c>
      <c r="D28" s="58">
        <f>COUNTIFS(개발일정표!$T:$T,$A28,개발일정표!$H:$H,"&lt;&gt;삭제",개발일정표!$T:$T,"&lt;&gt;검수제외",개발일정표!$Y:$Y,"=L3")+COUNTIFS(개발일정표!$T:$T,$A28,개발일정표!$H:$H,"&lt;&gt;삭제",개발일정표!$T:$T,"&lt;&gt;검수제외",개발일정표!$Y:$Y,"=L2")+COUNTIFS(개발일정표!$T:$T,$A28,개발일정표!$H:$H,"&lt;&gt;삭제",개발일정표!$T:$T,"&lt;&gt;검수제외",개발일정표!$Y:$Y,"=L1",개발일정표!$Z:$Z,"=Y",개발일정표!$X:$X,"&lt;="&amp;$B$24)</f>
        <v>0</v>
      </c>
      <c r="E28" s="59">
        <f t="shared" ref="E28:E30" si="28">C28-D28</f>
        <v>0</v>
      </c>
      <c r="F28" s="59">
        <f>COUNTIFS(개발일정표!$H:$H,$A28,개발일정표!$H:$H,"&lt;&gt;삭제",개발일정표!$J:$J,"="&amp;$B$1)</f>
        <v>0</v>
      </c>
      <c r="G28" s="60">
        <f t="shared" ref="G28:G32" si="29">IF(C28=0,0,D28/C28)</f>
        <v>0</v>
      </c>
      <c r="H28" s="60">
        <f t="shared" ref="H28:H32" si="30">IF(B28=0,0,D28/B28)</f>
        <v>0</v>
      </c>
      <c r="I28" s="59">
        <f>COUNTIFS(개발일정표!$T:$T,$A28,개발일정표!$H:$H,"&lt;&gt;삭제",개발일정표!$T:$T,"&lt;&gt;검수제외",개발일정표!$Y:$Y,"=L1",개발일정표!$Z:$Z,"&lt;&gt;Y")</f>
        <v>0</v>
      </c>
    </row>
    <row r="29" spans="1:34" s="56" customFormat="1" hidden="1">
      <c r="A29" s="90"/>
      <c r="B29" s="58">
        <f>COUNTIFS(개발일정표!$T:$T,$A29,개발일정표!$H:$H,"&lt;&gt;삭제",개발일정표!$T:$T,"&lt;&gt;검수제외")</f>
        <v>0</v>
      </c>
      <c r="C29" s="58">
        <f>COUNTIFS(개발일정표!$T:$T,$A29,개발일정표!$H:$H,"&lt;&gt;삭제",개발일정표!$T:$T,"&lt;&gt;검수제외",개발일정표!$V:$V,"&lt;="&amp;$B$24)</f>
        <v>0</v>
      </c>
      <c r="D29" s="58">
        <f>COUNTIFS(개발일정표!$T:$T,$A29,개발일정표!$H:$H,"&lt;&gt;삭제",개발일정표!$T:$T,"&lt;&gt;검수제외",개발일정표!$Y:$Y,"=L3")+COUNTIFS(개발일정표!$T:$T,$A29,개발일정표!$H:$H,"&lt;&gt;삭제",개발일정표!$T:$T,"&lt;&gt;검수제외",개발일정표!$Y:$Y,"=L2")+COUNTIFS(개발일정표!$T:$T,$A29,개발일정표!$H:$H,"&lt;&gt;삭제",개발일정표!$T:$T,"&lt;&gt;검수제외",개발일정표!$Y:$Y,"=L1",개발일정표!$Z:$Z,"=Y",개발일정표!$X:$X,"&lt;="&amp;$B$24)</f>
        <v>0</v>
      </c>
      <c r="E29" s="59">
        <f>C29-D29</f>
        <v>0</v>
      </c>
      <c r="F29" s="59">
        <f>COUNTIFS(개발일정표!$H:$H,$A29,개발일정표!$H:$H,"&lt;&gt;삭제",개발일정표!$J:$J,"="&amp;$B$1)</f>
        <v>0</v>
      </c>
      <c r="G29" s="60">
        <f t="shared" si="29"/>
        <v>0</v>
      </c>
      <c r="H29" s="60">
        <f t="shared" si="30"/>
        <v>0</v>
      </c>
      <c r="I29" s="59">
        <f>COUNTIFS(개발일정표!$T:$T,$A29,개발일정표!$H:$H,"&lt;&gt;삭제",개발일정표!$T:$T,"&lt;&gt;검수제외",개발일정표!$Y:$Y,"=L1",개발일정표!$Z:$Z,"&lt;&gt;Y")</f>
        <v>0</v>
      </c>
      <c r="AG29" s="137"/>
      <c r="AH29" s="137"/>
    </row>
    <row r="30" spans="1:34" hidden="1">
      <c r="A30" s="54"/>
      <c r="B30" s="58">
        <f>COUNTIFS(개발일정표!$T:$T,$A30,개발일정표!$H:$H,"&lt;&gt;삭제",개발일정표!$T:$T,"&lt;&gt;검수제외")</f>
        <v>0</v>
      </c>
      <c r="C30" s="58">
        <f>COUNTIFS(개발일정표!$A:$A,#REF!,개발일정표!$T:$T,$A30,개발일정표!$H:$H,"&lt;&gt;삭제",개발일정표!$T:$T,"&lt;&gt;검수제외",개발일정표!$V:$V,"&lt;="&amp;$B$24)</f>
        <v>0</v>
      </c>
      <c r="D30" s="58">
        <f>COUNTIFS(개발일정표!$A:$A,#REF!,개발일정표!$T:$T,$A30,개발일정표!$H:$H,"&lt;&gt;삭제",개발일정표!$T:$T,"&lt;&gt;검수제외",개발일정표!$Y:$Y,"=L3")+COUNTIFS(개발일정표!$A:$A,#REF!,개발일정표!$T:$T,$A30,개발일정표!$H:$H,"&lt;&gt;삭제",개발일정표!$T:$T,"&lt;&gt;검수제외",개발일정표!$Y:$Y,"=L2")+COUNTIFS(개발일정표!$A:$A,#REF!,개발일정표!$T:$T,$A30,개발일정표!$H:$H,"&lt;&gt;삭제",개발일정표!$T:$T,"&lt;&gt;검수제외",개발일정표!$Y:$Y,"=L1",개발일정표!$Z:$Z,"=Y",개발일정표!$X:$X,"&lt;="&amp;$B$24)</f>
        <v>0</v>
      </c>
      <c r="E30" s="59">
        <f t="shared" si="28"/>
        <v>0</v>
      </c>
      <c r="F30" s="59">
        <f>COUNTIFS(개발일정표!$H:$H,$A30,개발일정표!$H:$H,"&lt;&gt;삭제",개발일정표!$J:$J,"="&amp;$B$1)</f>
        <v>0</v>
      </c>
      <c r="G30" s="60">
        <f t="shared" si="29"/>
        <v>0</v>
      </c>
      <c r="H30" s="60">
        <f t="shared" si="30"/>
        <v>0</v>
      </c>
      <c r="I30" s="59">
        <f>COUNTIFS(개발일정표!$A:$A,#REF!,개발일정표!$T:$T,$A30,개발일정표!$H:$H,"&lt;&gt;삭제",개발일정표!$T:$T,"&lt;&gt;검수제외",개발일정표!$Y:$Y,"=L1",개발일정표!$Z:$Z,"&lt;&gt;Y")</f>
        <v>0</v>
      </c>
    </row>
    <row r="31" spans="1:34" s="56" customFormat="1" hidden="1">
      <c r="A31" s="75"/>
      <c r="B31" s="58">
        <f>COUNTIFS(개발일정표!$T:$T,$A31,개발일정표!$H:$H,"&lt;&gt;삭제",개발일정표!$T:$T,"&lt;&gt;검수제외")</f>
        <v>0</v>
      </c>
      <c r="C31" s="58">
        <f>COUNTIFS(개발일정표!$A:$A,#REF!,개발일정표!$T:$T,$A31,개발일정표!$H:$H,"&lt;&gt;삭제",개발일정표!$T:$T,"&lt;&gt;검수제외",개발일정표!$V:$V,"&lt;="&amp;$B$24)</f>
        <v>0</v>
      </c>
      <c r="D31" s="58">
        <f>COUNTIFS(개발일정표!$A:$A,#REF!,개발일정표!$T:$T,$A31,개발일정표!$H:$H,"&lt;&gt;삭제",개발일정표!$T:$T,"&lt;&gt;검수제외",개발일정표!$Y:$Y,"=L3")+COUNTIFS(개발일정표!$A:$A,#REF!,개발일정표!$T:$T,$A31,개발일정표!$H:$H,"&lt;&gt;삭제",개발일정표!$T:$T,"&lt;&gt;검수제외",개발일정표!$Y:$Y,"=L2")+COUNTIFS(개발일정표!$A:$A,#REF!,개발일정표!$T:$T,$A31,개발일정표!$H:$H,"&lt;&gt;삭제",개발일정표!$T:$T,"&lt;&gt;검수제외",개발일정표!$Y:$Y,"=L1",개발일정표!$Z:$Z,"=Y",개발일정표!$X:$X,"&lt;="&amp;$B$24)</f>
        <v>0</v>
      </c>
      <c r="E31" s="59">
        <f>C31-D31</f>
        <v>0</v>
      </c>
      <c r="F31" s="59">
        <f>COUNTIFS(개발일정표!$H:$H,$A31,개발일정표!$H:$H,"&lt;&gt;삭제",개발일정표!$J:$J,"="&amp;$B$1)</f>
        <v>0</v>
      </c>
      <c r="G31" s="60">
        <f t="shared" si="29"/>
        <v>0</v>
      </c>
      <c r="H31" s="60">
        <f t="shared" si="30"/>
        <v>0</v>
      </c>
      <c r="I31" s="59">
        <f>COUNTIFS(개발일정표!$A:$A,#REF!,개발일정표!$T:$T,$A31,개발일정표!$H:$H,"&lt;&gt;삭제",개발일정표!$T:$T,"&lt;&gt;검수제외",개발일정표!$Y:$Y,"=L1",개발일정표!$Z:$Z,"&lt;&gt;Y")</f>
        <v>0</v>
      </c>
      <c r="AG31" s="137"/>
      <c r="AH31" s="137"/>
    </row>
    <row r="32" spans="1:34" s="56" customFormat="1" hidden="1">
      <c r="A32" s="15" t="s">
        <v>474</v>
      </c>
      <c r="B32" s="61">
        <f>SUM(B26:B31)</f>
        <v>0</v>
      </c>
      <c r="C32" s="61">
        <f>SUM(C26:C31)</f>
        <v>0</v>
      </c>
      <c r="D32" s="61">
        <f>SUM(D26:D31)</f>
        <v>0</v>
      </c>
      <c r="E32" s="61">
        <f>SUM(E26:E31)</f>
        <v>0</v>
      </c>
      <c r="F32" s="61">
        <f>SUM(F26:F31)</f>
        <v>0</v>
      </c>
      <c r="G32" s="21">
        <f t="shared" si="29"/>
        <v>0</v>
      </c>
      <c r="H32" s="21">
        <f t="shared" si="30"/>
        <v>0</v>
      </c>
      <c r="I32" s="61">
        <f>SUM(I26:I31)</f>
        <v>0</v>
      </c>
      <c r="AG32" s="137"/>
      <c r="AH32" s="137"/>
    </row>
    <row r="33" spans="1:34" ht="8.25" hidden="1" customHeight="1"/>
    <row r="34" spans="1:34" ht="17.25" hidden="1">
      <c r="A34" s="4" t="s">
        <v>472</v>
      </c>
      <c r="B34" s="6" t="str">
        <f>개발진척현황!C1</f>
        <v>2017.03.02</v>
      </c>
      <c r="C34" s="5"/>
      <c r="D34" s="5"/>
      <c r="E34" s="5"/>
      <c r="F34" s="5"/>
      <c r="G34" s="7"/>
      <c r="H34" s="8"/>
    </row>
    <row r="35" spans="1:34" ht="13.5" hidden="1" customHeight="1">
      <c r="A35" s="222" t="s">
        <v>526</v>
      </c>
      <c r="B35" s="170" t="s">
        <v>34</v>
      </c>
      <c r="C35" s="193" t="s">
        <v>473</v>
      </c>
      <c r="D35" s="194"/>
      <c r="E35" s="194"/>
      <c r="F35" s="194"/>
      <c r="G35" s="194"/>
      <c r="H35" s="194"/>
      <c r="I35" s="195"/>
    </row>
    <row r="36" spans="1:34" ht="6" hidden="1" customHeight="1">
      <c r="A36" s="223"/>
      <c r="B36" s="171"/>
      <c r="C36" s="244" t="s">
        <v>38</v>
      </c>
      <c r="D36" s="244" t="s">
        <v>39</v>
      </c>
      <c r="E36" s="244" t="s">
        <v>40</v>
      </c>
      <c r="F36" s="244" t="s">
        <v>76</v>
      </c>
      <c r="G36" s="246" t="s">
        <v>41</v>
      </c>
      <c r="H36" s="246" t="s">
        <v>42</v>
      </c>
      <c r="I36" s="183" t="s">
        <v>81</v>
      </c>
    </row>
    <row r="37" spans="1:34" ht="6" hidden="1" customHeight="1">
      <c r="A37" s="224"/>
      <c r="B37" s="160"/>
      <c r="C37" s="245"/>
      <c r="D37" s="245"/>
      <c r="E37" s="245"/>
      <c r="F37" s="244"/>
      <c r="G37" s="245"/>
      <c r="H37" s="245"/>
      <c r="I37" s="238"/>
    </row>
    <row r="38" spans="1:34" hidden="1">
      <c r="A38" s="54"/>
      <c r="B38" s="45">
        <f>COUNTIFS(개발일정표!$AA:$AA,$A38,개발일정표!$H:$H,"&lt;&gt;삭제",개발일정표!$AA:$AA,"&lt;&gt;검수제외")</f>
        <v>0</v>
      </c>
      <c r="C38" s="58">
        <f>COUNTIFS(개발일정표!$AA:$AA,$A38,개발일정표!$H:$H,"&lt;&gt;삭제",개발일정표!$AA:$AA,"&lt;&gt;검수제외",개발일정표!$AC:$AC,"&lt;="&amp;$B$34)</f>
        <v>0</v>
      </c>
      <c r="D38" s="58">
        <f>COUNTIFS(개발일정표!$AA:$AA,$A38,개발일정표!$H:$H,"&lt;&gt;삭제",개발일정표!$AA:$AA,"&lt;&gt;검수제외",개발일정표!$AF:$AF,"=L3")+COUNTIFS(개발일정표!$AA:$AA,$A38,개발일정표!$H:$H,"&lt;&gt;삭제",개발일정표!$AA:$AA,"&lt;&gt;검수제외",개발일정표!$AF:$AF,"=L2")+COUNTIFS(개발일정표!$AA:$AA,$A38,개발일정표!$H:$H,"&lt;&gt;삭제",개발일정표!$AA:$AA,"&lt;&gt;검수제외",개발일정표!$AF:$AF,"=L1",개발일정표!$AG:$AG,"=Y",개발일정표!$AE:$AE,"&lt;="&amp;$B$34)</f>
        <v>0</v>
      </c>
      <c r="E38" s="59">
        <f t="shared" ref="E38:E40" si="31">C38-D38</f>
        <v>0</v>
      </c>
      <c r="F38" s="59">
        <f>COUNTIFS(개발일정표!$H:$H,$A38,개발일정표!$H:$H,"&lt;&gt;삭제",개발일정표!$J:$J,"="&amp;$B$1)</f>
        <v>0</v>
      </c>
      <c r="G38" s="60">
        <f>IF(C38=0,0,D38/C38)</f>
        <v>0</v>
      </c>
      <c r="H38" s="60">
        <f>IF(B38=0,0,D38/B38)</f>
        <v>0</v>
      </c>
      <c r="I38" s="59">
        <f>COUNTIFS(개발일정표!$AA:$AA,$A38,개발일정표!$H:$H,"&lt;&gt;삭제",개발일정표!$AA:$AA,"&lt;&gt;검수제외",개발일정표!$AF:$AF,"=L1",개발일정표!$AG:$AG,"&lt;&gt;Y")</f>
        <v>0</v>
      </c>
    </row>
    <row r="39" spans="1:34" hidden="1">
      <c r="A39" s="57"/>
      <c r="B39" s="58">
        <f>COUNTIFS(개발일정표!$AA:$AA,$A39,개발일정표!$H:$H,"&lt;&gt;삭제",개발일정표!$AA:$AA,"&lt;&gt;검수제외")</f>
        <v>0</v>
      </c>
      <c r="C39" s="58">
        <f>COUNTIFS(개발일정표!$A:$A,#REF!,개발일정표!$AA:$AA,$A39,개발일정표!$H:$H,"&lt;&gt;삭제",개발일정표!$AA:$AA,"&lt;&gt;검수제외",개발일정표!$AC:$AC,"&lt;="&amp;$B$34)</f>
        <v>0</v>
      </c>
      <c r="D39" s="58">
        <f>COUNTIFS(개발일정표!$A:$A,#REF!,개발일정표!$AA:$AA,$A39,개발일정표!$H:$H,"&lt;&gt;삭제",개발일정표!$AA:$AA,"&lt;&gt;검수제외",개발일정표!$AF:$AF,"=L3")+COUNTIFS(개발일정표!$A:$A,#REF!,개발일정표!$AA:$AA,$A39,개발일정표!$H:$H,"&lt;&gt;삭제",개발일정표!$AA:$AA,"&lt;&gt;검수제외",개발일정표!$AF:$AF,"=L2")+COUNTIFS(개발일정표!$A:$A,#REF!,개발일정표!$AA:$AA,$A39,개발일정표!$H:$H,"&lt;&gt;삭제",개발일정표!$AA:$AA,"&lt;&gt;검수제외",개발일정표!$AF:$AF,"=L1",개발일정표!$AG:$AG,"=Y",개발일정표!$AE:$AE,"&lt;="&amp;$B$34)</f>
        <v>0</v>
      </c>
      <c r="E39" s="59">
        <f t="shared" si="31"/>
        <v>0</v>
      </c>
      <c r="F39" s="59">
        <f>COUNTIFS(개발일정표!$H:$H,$A39,개발일정표!$H:$H,"&lt;&gt;삭제",개발일정표!$J:$J,"="&amp;$B$1)</f>
        <v>0</v>
      </c>
      <c r="G39" s="60">
        <f t="shared" ref="G39:G40" si="32">IF(C39=0,0,D39/C39)</f>
        <v>0</v>
      </c>
      <c r="H39" s="60">
        <f t="shared" ref="H39:H40" si="33">IF(B39=0,0,D39/B39)</f>
        <v>0</v>
      </c>
      <c r="I39" s="59">
        <f>COUNTIFS(개발일정표!$A:$A,#REF!,개발일정표!$AA:$AA,$A39,개발일정표!$H:$H,"&lt;&gt;삭제",개발일정표!$AA:$AA,"&lt;&gt;검수제외",개발일정표!$AF:$AF,"=L1",개발일정표!$AG:$AG,"&lt;&gt;Y")</f>
        <v>0</v>
      </c>
    </row>
    <row r="40" spans="1:34" hidden="1">
      <c r="A40" s="57"/>
      <c r="B40" s="58">
        <f>COUNTIFS(개발일정표!$AA:$AA,$A40,개발일정표!$H:$H,"&lt;&gt;삭제",개발일정표!$AA:$AA,"&lt;&gt;검수제외")</f>
        <v>0</v>
      </c>
      <c r="C40" s="58">
        <f>COUNTIFS(개발일정표!$A:$A,#REF!,개발일정표!$AA:$AA,$A40,개발일정표!$H:$H,"&lt;&gt;삭제",개발일정표!$AA:$AA,"&lt;&gt;검수제외",개발일정표!$AC:$AC,"&lt;="&amp;$B$34)</f>
        <v>0</v>
      </c>
      <c r="D40" s="58">
        <f>COUNTIFS(개발일정표!$A:$A,#REF!,개발일정표!$AA:$AA,$A40,개발일정표!$H:$H,"&lt;&gt;삭제",개발일정표!$AA:$AA,"&lt;&gt;검수제외",개발일정표!$AF:$AF,"=L3")+COUNTIFS(개발일정표!$A:$A,#REF!,개발일정표!$AA:$AA,$A40,개발일정표!$H:$H,"&lt;&gt;삭제",개발일정표!$AA:$AA,"&lt;&gt;검수제외",개발일정표!$AF:$AF,"=L2")+COUNTIFS(개발일정표!$A:$A,#REF!,개발일정표!$AA:$AA,$A40,개발일정표!$H:$H,"&lt;&gt;삭제",개발일정표!$AA:$AA,"&lt;&gt;검수제외",개발일정표!$AF:$AF,"=L1",개발일정표!$AG:$AG,"=Y",개발일정표!$AE:$AE,"&lt;="&amp;$B$34)</f>
        <v>0</v>
      </c>
      <c r="E40" s="59">
        <f t="shared" si="31"/>
        <v>0</v>
      </c>
      <c r="F40" s="59">
        <f>COUNTIFS(개발일정표!$H:$H,$A40,개발일정표!$H:$H,"&lt;&gt;삭제",개발일정표!$J:$J,"="&amp;$B$1)</f>
        <v>0</v>
      </c>
      <c r="G40" s="60">
        <f t="shared" si="32"/>
        <v>0</v>
      </c>
      <c r="H40" s="60">
        <f t="shared" si="33"/>
        <v>0</v>
      </c>
      <c r="I40" s="59">
        <f>COUNTIFS(개발일정표!$A:$A,#REF!,개발일정표!$AA:$AA,$A40,개발일정표!$H:$H,"&lt;&gt;삭제",개발일정표!$AA:$AA,"&lt;&gt;검수제외",개발일정표!$AF:$AF,"=L1",개발일정표!$AG:$AG,"&lt;&gt;Y")</f>
        <v>0</v>
      </c>
    </row>
    <row r="41" spans="1:34" s="56" customFormat="1" hidden="1">
      <c r="A41" s="75"/>
      <c r="B41" s="58">
        <f>COUNTIFS(개발일정표!$AA:$AA,$A41,개발일정표!$H:$H,"&lt;&gt;삭제",개발일정표!$AA:$AA,"&lt;&gt;검수제외")</f>
        <v>0</v>
      </c>
      <c r="C41" s="58">
        <f>COUNTIFS(개발일정표!$A:$A,#REF!,개발일정표!$AA:$AA,$A41,개발일정표!$H:$H,"&lt;&gt;삭제",개발일정표!$AA:$AA,"&lt;&gt;검수제외",개발일정표!$AC:$AC,"&lt;="&amp;$B$34)</f>
        <v>0</v>
      </c>
      <c r="D41" s="58">
        <f>COUNTIFS(개발일정표!$A:$A,#REF!,개발일정표!$AA:$AA,$A41,개발일정표!$H:$H,"&lt;&gt;삭제",개발일정표!$AA:$AA,"&lt;&gt;검수제외",개발일정표!$AF:$AF,"=L3")+COUNTIFS(개발일정표!$A:$A,#REF!,개발일정표!$AA:$AA,$A41,개발일정표!$H:$H,"&lt;&gt;삭제",개발일정표!$AA:$AA,"&lt;&gt;검수제외",개발일정표!$AF:$AF,"=L2")+COUNTIFS(개발일정표!$A:$A,#REF!,개발일정표!$AA:$AA,$A41,개발일정표!$H:$H,"&lt;&gt;삭제",개발일정표!$AA:$AA,"&lt;&gt;검수제외",개발일정표!$AF:$AF,"=L1",개발일정표!$AG:$AG,"=Y",개발일정표!$AE:$AE,"&lt;="&amp;$B$34)</f>
        <v>0</v>
      </c>
      <c r="E41" s="59">
        <f>C41-D41</f>
        <v>0</v>
      </c>
      <c r="F41" s="59">
        <f>COUNTIFS(개발일정표!$H:$H,$A41,개발일정표!$H:$H,"&lt;&gt;삭제",개발일정표!$J:$J,"="&amp;$B$1)</f>
        <v>0</v>
      </c>
      <c r="G41" s="60">
        <f>IF(C41=0,0,D41/C41)</f>
        <v>0</v>
      </c>
      <c r="H41" s="60">
        <f>IF(B41=0,0,D41/B41)</f>
        <v>0</v>
      </c>
      <c r="I41" s="59">
        <f>COUNTIFS(개발일정표!$A:$A,#REF!,개발일정표!$AA:$AA,$A41,개발일정표!$H:$H,"&lt;&gt;삭제",개발일정표!$AA:$AA,"&lt;&gt;검수제외",개발일정표!$AF:$AF,"=L1",개발일정표!$AG:$AG,"&lt;&gt;Y")</f>
        <v>0</v>
      </c>
      <c r="AG41" s="137"/>
      <c r="AH41" s="137"/>
    </row>
    <row r="42" spans="1:34" s="56" customFormat="1" hidden="1">
      <c r="A42" s="15" t="s">
        <v>474</v>
      </c>
      <c r="B42" s="61">
        <f>SUM(B36:B41)</f>
        <v>0</v>
      </c>
      <c r="C42" s="61">
        <f>SUM(C36:C41)</f>
        <v>0</v>
      </c>
      <c r="D42" s="61">
        <f>SUM(D36:D41)</f>
        <v>0</v>
      </c>
      <c r="E42" s="61">
        <f>SUM(E36:E41)</f>
        <v>0</v>
      </c>
      <c r="F42" s="61">
        <f>SUM(F36:F41)</f>
        <v>0</v>
      </c>
      <c r="G42" s="21">
        <f>IF(C42=0,0,D42/C42)</f>
        <v>0</v>
      </c>
      <c r="H42" s="21">
        <f>IF(B42=0,0,D42/B42)</f>
        <v>0</v>
      </c>
      <c r="I42" s="61">
        <f>SUM(I36:I41)</f>
        <v>0</v>
      </c>
      <c r="AG42" s="137"/>
      <c r="AH42" s="137"/>
    </row>
  </sheetData>
  <mergeCells count="63">
    <mergeCell ref="F16:F17"/>
    <mergeCell ref="G16:G17"/>
    <mergeCell ref="H16:H17"/>
    <mergeCell ref="C15:I15"/>
    <mergeCell ref="I16:I17"/>
    <mergeCell ref="A15:A17"/>
    <mergeCell ref="B15:B17"/>
    <mergeCell ref="C16:C17"/>
    <mergeCell ref="D16:D17"/>
    <mergeCell ref="E16:E17"/>
    <mergeCell ref="A35:A37"/>
    <mergeCell ref="B35:B37"/>
    <mergeCell ref="A25:A27"/>
    <mergeCell ref="B25:B27"/>
    <mergeCell ref="C25:I25"/>
    <mergeCell ref="J2:P2"/>
    <mergeCell ref="I26:I27"/>
    <mergeCell ref="I36:I37"/>
    <mergeCell ref="C35:I35"/>
    <mergeCell ref="C36:C37"/>
    <mergeCell ref="D36:D37"/>
    <mergeCell ref="E36:E37"/>
    <mergeCell ref="F36:F37"/>
    <mergeCell ref="G36:G37"/>
    <mergeCell ref="H36:H37"/>
    <mergeCell ref="C26:C27"/>
    <mergeCell ref="D26:D27"/>
    <mergeCell ref="E26:E27"/>
    <mergeCell ref="F26:F27"/>
    <mergeCell ref="G26:G27"/>
    <mergeCell ref="H26:H27"/>
    <mergeCell ref="AF3:AF4"/>
    <mergeCell ref="Y3:Y4"/>
    <mergeCell ref="Z3:Z4"/>
    <mergeCell ref="AA3:AB3"/>
    <mergeCell ref="AC3:AC4"/>
    <mergeCell ref="AD3:AD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H3:H4"/>
    <mergeCell ref="A2:A4"/>
    <mergeCell ref="B2:B4"/>
    <mergeCell ref="C3:C4"/>
    <mergeCell ref="D3:D4"/>
    <mergeCell ref="E3:E4"/>
    <mergeCell ref="G3:G4"/>
    <mergeCell ref="F3:F4"/>
    <mergeCell ref="C2:I2"/>
    <mergeCell ref="I3:I4"/>
  </mergeCells>
  <phoneticPr fontId="22" type="noConversion"/>
  <conditionalFormatting sqref="E5:E8 E21 I21 E10:E11">
    <cfRule type="cellIs" dxfId="28" priority="211" stopIfTrue="1" operator="greaterThan">
      <formula>0</formula>
    </cfRule>
  </conditionalFormatting>
  <conditionalFormatting sqref="E18:E20">
    <cfRule type="cellIs" dxfId="27" priority="202" stopIfTrue="1" operator="greaterThan">
      <formula>0</formula>
    </cfRule>
  </conditionalFormatting>
  <conditionalFormatting sqref="E28:E30">
    <cfRule type="cellIs" dxfId="26" priority="201" stopIfTrue="1" operator="greaterThan">
      <formula>0</formula>
    </cfRule>
  </conditionalFormatting>
  <conditionalFormatting sqref="E38:E40">
    <cfRule type="cellIs" dxfId="25" priority="200" stopIfTrue="1" operator="greaterThan">
      <formula>0</formula>
    </cfRule>
  </conditionalFormatting>
  <conditionalFormatting sqref="I18:I20">
    <cfRule type="cellIs" dxfId="24" priority="199" stopIfTrue="1" operator="greaterThan">
      <formula>0</formula>
    </cfRule>
  </conditionalFormatting>
  <conditionalFormatting sqref="I28:I31">
    <cfRule type="cellIs" dxfId="23" priority="198" stopIfTrue="1" operator="greaterThan">
      <formula>0</formula>
    </cfRule>
  </conditionalFormatting>
  <conditionalFormatting sqref="I38:I41">
    <cfRule type="cellIs" dxfId="22" priority="197" stopIfTrue="1" operator="greaterThan">
      <formula>0</formula>
    </cfRule>
  </conditionalFormatting>
  <conditionalFormatting sqref="U5:U8 U10:U11">
    <cfRule type="cellIs" dxfId="21" priority="195" stopIfTrue="1" operator="greaterThan">
      <formula>0</formula>
    </cfRule>
  </conditionalFormatting>
  <conditionalFormatting sqref="N5:N8 V5:V8 AD5:AD8 AD10:AD11 V10:V11 N10:N11">
    <cfRule type="cellIs" dxfId="20" priority="194" stopIfTrue="1" operator="greaterThan">
      <formula>0</formula>
    </cfRule>
  </conditionalFormatting>
  <conditionalFormatting sqref="K5:L8 N5:AB8 AD5:AF8 N13:O13 V13:W13 AD13:AE13 AD10:AF11 N10:AB11 K10:L11">
    <cfRule type="cellIs" dxfId="19" priority="193" stopIfTrue="1" operator="lessThan">
      <formula>0</formula>
    </cfRule>
  </conditionalFormatting>
  <conditionalFormatting sqref="N5:N8 N10:N11">
    <cfRule type="cellIs" dxfId="18" priority="192" stopIfTrue="1" operator="greaterThan">
      <formula>1</formula>
    </cfRule>
  </conditionalFormatting>
  <conditionalFormatting sqref="N5:N8 V5:V8 AD5:AD8 AD10:AD11 V10:V11 N10:N11">
    <cfRule type="cellIs" dxfId="17" priority="191" stopIfTrue="1" operator="greaterThan">
      <formula>0</formula>
    </cfRule>
  </conditionalFormatting>
  <conditionalFormatting sqref="M5:M8 M10:M11">
    <cfRule type="cellIs" dxfId="16" priority="190" stopIfTrue="1" operator="greaterThan">
      <formula>0</formula>
    </cfRule>
  </conditionalFormatting>
  <conditionalFormatting sqref="J12:AD12">
    <cfRule type="cellIs" dxfId="15" priority="189" stopIfTrue="1" operator="lessThan">
      <formula>0</formula>
    </cfRule>
  </conditionalFormatting>
  <conditionalFormatting sqref="AF12">
    <cfRule type="cellIs" dxfId="14" priority="188" stopIfTrue="1" operator="lessThan">
      <formula>0</formula>
    </cfRule>
  </conditionalFormatting>
  <conditionalFormatting sqref="AE12">
    <cfRule type="cellIs" dxfId="13" priority="137" stopIfTrue="1" operator="lessThan">
      <formula>0</formula>
    </cfRule>
  </conditionalFormatting>
  <conditionalFormatting sqref="AC5:AC8 AC10:AC11">
    <cfRule type="cellIs" dxfId="12" priority="130" stopIfTrue="1" operator="greaterThan">
      <formula>0</formula>
    </cfRule>
  </conditionalFormatting>
  <conditionalFormatting sqref="AC5:AC8 AC10:AC11">
    <cfRule type="cellIs" dxfId="11" priority="129" stopIfTrue="1" operator="lessThan">
      <formula>0</formula>
    </cfRule>
  </conditionalFormatting>
  <conditionalFormatting sqref="E31">
    <cfRule type="cellIs" dxfId="10" priority="99" stopIfTrue="1" operator="greaterThan">
      <formula>0</formula>
    </cfRule>
  </conditionalFormatting>
  <conditionalFormatting sqref="E41">
    <cfRule type="cellIs" dxfId="9" priority="97" stopIfTrue="1" operator="greaterThan">
      <formula>0</formula>
    </cfRule>
  </conditionalFormatting>
  <conditionalFormatting sqref="M9">
    <cfRule type="cellIs" dxfId="8" priority="3" stopIfTrue="1" operator="greaterThan">
      <formula>0</formula>
    </cfRule>
  </conditionalFormatting>
  <conditionalFormatting sqref="AC9">
    <cfRule type="cellIs" dxfId="7" priority="2" stopIfTrue="1" operator="greaterThan">
      <formula>0</formula>
    </cfRule>
  </conditionalFormatting>
  <conditionalFormatting sqref="E9">
    <cfRule type="cellIs" dxfId="6" priority="9" stopIfTrue="1" operator="greaterThan">
      <formula>0</formula>
    </cfRule>
  </conditionalFormatting>
  <conditionalFormatting sqref="U9">
    <cfRule type="cellIs" dxfId="5" priority="8" stopIfTrue="1" operator="greaterThan">
      <formula>0</formula>
    </cfRule>
  </conditionalFormatting>
  <conditionalFormatting sqref="N9 V9 AD9">
    <cfRule type="cellIs" dxfId="4" priority="7" stopIfTrue="1" operator="greaterThan">
      <formula>0</formula>
    </cfRule>
  </conditionalFormatting>
  <conditionalFormatting sqref="K9:L9 N9:AB9 AD9:AF9">
    <cfRule type="cellIs" dxfId="3" priority="6" stopIfTrue="1" operator="lessThan">
      <formula>0</formula>
    </cfRule>
  </conditionalFormatting>
  <conditionalFormatting sqref="N9">
    <cfRule type="cellIs" dxfId="2" priority="5" stopIfTrue="1" operator="greaterThan">
      <formula>1</formula>
    </cfRule>
  </conditionalFormatting>
  <conditionalFormatting sqref="N9 V9 AD9">
    <cfRule type="cellIs" dxfId="1" priority="4" stopIfTrue="1" operator="greaterThan">
      <formula>0</formula>
    </cfRule>
  </conditionalFormatting>
  <conditionalFormatting sqref="AC9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Q10" sqref="Q10"/>
    </sheetView>
  </sheetViews>
  <sheetFormatPr defaultRowHeight="13.5"/>
  <cols>
    <col min="2" max="11" width="6.5546875" customWidth="1"/>
  </cols>
  <sheetData>
    <row r="1" spans="1:31" s="1" customFormat="1" ht="21" customHeight="1" thickBot="1">
      <c r="A1" s="24" t="s">
        <v>66</v>
      </c>
      <c r="B1" s="4"/>
      <c r="C1" s="6" t="str">
        <f>개발진척현황!C1</f>
        <v>2017.03.02</v>
      </c>
      <c r="D1" s="4"/>
      <c r="E1" s="4"/>
      <c r="F1" s="4"/>
      <c r="G1" s="4"/>
      <c r="H1" s="4"/>
      <c r="I1" s="4" t="s">
        <v>86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263" t="s">
        <v>61</v>
      </c>
      <c r="B2" s="265" t="s">
        <v>62</v>
      </c>
      <c r="C2" s="267" t="s">
        <v>63</v>
      </c>
      <c r="D2" s="268"/>
      <c r="E2" s="269"/>
      <c r="F2" s="270" t="s">
        <v>64</v>
      </c>
      <c r="G2" s="271"/>
      <c r="H2" s="272"/>
      <c r="I2" s="260" t="s">
        <v>453</v>
      </c>
      <c r="J2" s="261"/>
      <c r="K2" s="262"/>
    </row>
    <row r="3" spans="1:31" s="1" customFormat="1" ht="21" customHeight="1">
      <c r="A3" s="264"/>
      <c r="B3" s="266"/>
      <c r="C3" s="23" t="s">
        <v>67</v>
      </c>
      <c r="D3" s="23" t="s">
        <v>68</v>
      </c>
      <c r="E3" s="27" t="s">
        <v>65</v>
      </c>
      <c r="F3" s="9" t="s">
        <v>67</v>
      </c>
      <c r="G3" s="9" t="s">
        <v>68</v>
      </c>
      <c r="H3" s="28" t="s">
        <v>65</v>
      </c>
      <c r="I3" s="10" t="s">
        <v>67</v>
      </c>
      <c r="J3" s="10" t="s">
        <v>68</v>
      </c>
      <c r="K3" s="29" t="s">
        <v>65</v>
      </c>
    </row>
    <row r="4" spans="1:31" s="1" customFormat="1" ht="21" customHeight="1">
      <c r="A4" s="254" t="s">
        <v>159</v>
      </c>
      <c r="B4" s="101" t="s">
        <v>69</v>
      </c>
      <c r="C4" s="25">
        <f>COUNTIFS(개발일정표!$A:$A,$A$4,개발일정표!$H:$H,"&lt;&gt;삭제",개발일정표!$M:$M,"&lt;&gt;검수제외",개발일정표!$R:$R,"=L1")</f>
        <v>0</v>
      </c>
      <c r="D4" s="25">
        <f>COUNTIFS(개발일정표!$A:$A,$A$4,개발일정표!$H:$H,"&lt;&gt;삭제",개발일정표!$M:$M,"&lt;&gt;검수제외",개발일정표!$R:$R,"=L1",개발일정표!$S:$S,"=Y",개발일정표!$Q:$Q,"&lt;="&amp;$C$1)</f>
        <v>0</v>
      </c>
      <c r="E4" s="26">
        <f>IF(C4=0,0,D4/C4)</f>
        <v>0</v>
      </c>
      <c r="F4" s="25">
        <f>COUNTIFS(개발일정표!$A:$A,$A$4,개발일정표!$H:$H,"&lt;&gt;삭제",개발일정표!$T:$T,"&lt;&gt;검수제외",개발일정표!$Y:$Y,"=L1")</f>
        <v>0</v>
      </c>
      <c r="G4" s="25">
        <f>COUNTIFS(개발일정표!$A:$A,$A$4,개발일정표!$H:$H,"&lt;&gt;삭제",개발일정표!$T:$T,"&lt;&gt;검수제외",개발일정표!$Y:$Y,"=L1",개발일정표!$Z:$Z,"=Y",개발일정표!$X:$X,"&lt;="&amp;$C$1)</f>
        <v>0</v>
      </c>
      <c r="H4" s="26">
        <f>IF(F4=0,0,G4/F4)</f>
        <v>0</v>
      </c>
      <c r="I4" s="25">
        <f>COUNTIFS(개발일정표!$A:$A,$A$4,개발일정표!$H:$H,"&lt;&gt;삭제",개발일정표!$AA:$AA,"&lt;&gt;검수제외",개발일정표!$AF:$AF,"=L1")</f>
        <v>0</v>
      </c>
      <c r="J4" s="25">
        <f>COUNTIFS(개발일정표!$A:$A,$A$4,개발일정표!$H:$H,"&lt;&gt;삭제",개발일정표!$AA:$AA,"&lt;&gt;검수제외",개발일정표!$AF:$AF,"=L1",개발일정표!$AG:$AG,"=Y",개발일정표!$AE:$AE,"&lt;="&amp;$C$1)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55"/>
      <c r="B5" s="101" t="s">
        <v>70</v>
      </c>
      <c r="C5" s="25">
        <f>COUNTIFS(개발일정표!$A:$A,$A$4,개발일정표!$H:$H,"&lt;&gt;삭제",개발일정표!$M:$M,"&lt;&gt;검수제외",개발일정표!$R:$R,"=L2")</f>
        <v>0</v>
      </c>
      <c r="D5" s="25">
        <f>COUNTIFS(개발일정표!$A:$A,$A$4,개발일정표!$H:$H,"&lt;&gt;삭제",개발일정표!$M:$M,"&lt;&gt;검수제외",개발일정표!$R:$R,"=L2",개발일정표!$S:$S,"=Y",개발일정표!$Q:$Q,"&lt;="&amp;$C$1)</f>
        <v>0</v>
      </c>
      <c r="E5" s="26">
        <f>IF(C5=0,0,D5/C5)</f>
        <v>0</v>
      </c>
      <c r="F5" s="25">
        <f>COUNTIFS(개발일정표!$A:$A,$A$4,개발일정표!$H:$H,"&lt;&gt;삭제",개발일정표!$T:$T,"&lt;&gt;검수제외",개발일정표!$Y:$Y,"=L2")</f>
        <v>0</v>
      </c>
      <c r="G5" s="25">
        <f>COUNTIFS(개발일정표!$A:$A,$A$4,개발일정표!$H:$H,"&lt;&gt;삭제",개발일정표!$T:$T,"&lt;&gt;검수제외",개발일정표!$Y:$Y,"=L2",개발일정표!$Z:$Z,"=Y",개발일정표!$X:$X,"&lt;="&amp;$C$1)</f>
        <v>0</v>
      </c>
      <c r="H5" s="26">
        <f>IF(F5=0,0,G5/F5)</f>
        <v>0</v>
      </c>
      <c r="I5" s="25">
        <f>COUNTIFS(개발일정표!$A:$A,$A$4,개발일정표!$H:$H,"&lt;&gt;삭제",개발일정표!$AA:$AA,"&lt;&gt;검수제외",개발일정표!$AF:$AF,"=L2")</f>
        <v>0</v>
      </c>
      <c r="J5" s="25">
        <f>COUNTIFS(개발일정표!$A:$A,$A$4,개발일정표!$H:$H,"&lt;&gt;삭제",개발일정표!$AA:$AA,"&lt;&gt;검수제외",개발일정표!$AF:$AF,"=L2",개발일정표!$AG:$AG,"=Y",개발일정표!$AE:$AE,"&lt;="&amp;$C$1)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56"/>
      <c r="B6" s="30" t="s">
        <v>71</v>
      </c>
      <c r="C6" s="31">
        <f>SUM(C4:C5)</f>
        <v>0</v>
      </c>
      <c r="D6" s="31">
        <f>SUM(D4:D5)</f>
        <v>0</v>
      </c>
      <c r="E6" s="32">
        <f>IF(C6=0,0,D6/C6)</f>
        <v>0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54" t="s">
        <v>119</v>
      </c>
      <c r="B7" s="101" t="s">
        <v>69</v>
      </c>
      <c r="C7" s="25">
        <f>COUNTIFS(개발일정표!$A:$A,$A$7,개발일정표!$H:$H,"&lt;&gt;삭제",개발일정표!$M:$M,"&lt;&gt;검수제외",개발일정표!$R:$R,"=L1")</f>
        <v>0</v>
      </c>
      <c r="D7" s="25">
        <f>COUNTIFS(개발일정표!$A:$A,$A$7,개발일정표!$H:$H,"&lt;&gt;삭제",개발일정표!$M:$M,"&lt;&gt;검수제외",개발일정표!$R:$R,"=L1",개발일정표!$S:$S,"=Y",개발일정표!$Q:$Q,"&lt;="&amp;$C$1)</f>
        <v>0</v>
      </c>
      <c r="E7" s="26">
        <f t="shared" ref="E7:E27" si="0">IF(C7=0,0,D7/C7)</f>
        <v>0</v>
      </c>
      <c r="F7" s="25">
        <f>COUNTIFS(개발일정표!$A:$A,$A$7,개발일정표!$H:$H,"&lt;&gt;삭제",개발일정표!$T:$T,"&lt;&gt;검수제외",개발일정표!$Y:$Y,"=L1")</f>
        <v>0</v>
      </c>
      <c r="G7" s="25">
        <f>COUNTIFS(개발일정표!$A:$A,$A$7,개발일정표!$H:$H,"&lt;&gt;삭제",개발일정표!$T:$T,"&lt;&gt;검수제외",개발일정표!$Z:$Z,"=Y",개발일정표!$Y:$Y,"=L1",개발일정표!$X:$X,"&lt;="&amp;$C$1)</f>
        <v>0</v>
      </c>
      <c r="H7" s="26">
        <f t="shared" ref="H7:H27" si="1">IF(F7=0,0,G7/F7)</f>
        <v>0</v>
      </c>
      <c r="I7" s="25">
        <f>COUNTIFS(개발일정표!$A:$A,$A$7,개발일정표!$H:$H,"&lt;&gt;삭제",개발일정표!$AA:$AA,"&lt;&gt;검수제외",개발일정표!$AF:$AF,"=L1")</f>
        <v>0</v>
      </c>
      <c r="J7" s="25">
        <f>COUNTIFS(개발일정표!$A:$A,$A$7,개발일정표!$H:$H,"&lt;&gt;삭제",개발일정표!$AA:$AA,"&lt;&gt;검수제외",개발일정표!$AF:$AF,"=L1",개발일정표!$AG:$AG,"=Y",개발일정표!$AE:$AE,"&lt;="&amp;$C$1)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55"/>
      <c r="B8" s="101" t="s">
        <v>70</v>
      </c>
      <c r="C8" s="25">
        <f>COUNTIFS(개발일정표!$A:$A,$A$7,개발일정표!$H:$H,"&lt;&gt;삭제",개발일정표!$M:$M,"&lt;&gt;검수제외",개발일정표!$R:$R,"=L2")</f>
        <v>0</v>
      </c>
      <c r="D8" s="25">
        <f>COUNTIFS(개발일정표!$A:$A,$A$7,개발일정표!$H:$H,"&lt;&gt;삭제",개발일정표!$M:$M,"&lt;&gt;검수제외",개발일정표!$R:$R,"=L2",개발일정표!$S:$S,"=Y",개발일정표!$Q:$Q,"&lt;="&amp;$C$1)</f>
        <v>0</v>
      </c>
      <c r="E8" s="26">
        <f t="shared" si="0"/>
        <v>0</v>
      </c>
      <c r="F8" s="25">
        <f>COUNTIFS(개발일정표!$A:$A,$A$7,개발일정표!$H:$H,"&lt;&gt;삭제",개발일정표!$T:$T,"&lt;&gt;검수제외",개발일정표!$Y:$Y,"=L2")</f>
        <v>0</v>
      </c>
      <c r="G8" s="25">
        <f>COUNTIFS(개발일정표!$A:$A,$A$7,개발일정표!$H:$H,"&lt;&gt;삭제",개발일정표!$T:$T,"&lt;&gt;검수제외",개발일정표!$Y:$Y,"=L2",개발일정표!$Z:$Z,"=Y",개발일정표!$X:$X,"&lt;="&amp;$C$1)</f>
        <v>0</v>
      </c>
      <c r="H8" s="26">
        <f t="shared" si="1"/>
        <v>0</v>
      </c>
      <c r="I8" s="25">
        <f>COUNTIFS(개발일정표!$A:$A,$A$7,개발일정표!$H:$H,"&lt;&gt;삭제",개발일정표!$AA:$AA,"&lt;&gt;검수제외",개발일정표!$AF:$AF,"=L2")</f>
        <v>0</v>
      </c>
      <c r="J8" s="25">
        <f>COUNTIFS(개발일정표!$A:$A,$A$7,개발일정표!$H:$H,"&lt;&gt;삭제",개발일정표!$AA:$AA,"&lt;&gt;검수제외",개발일정표!$AF:$AF,"=L2",개발일정표!$AG:$AG,"=Y",개발일정표!$AE:$AE,"&lt;="&amp;$C$1)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56"/>
      <c r="B9" s="30" t="s">
        <v>71</v>
      </c>
      <c r="C9" s="31">
        <f>SUM(C7:C8)</f>
        <v>0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54" t="s">
        <v>199</v>
      </c>
      <c r="B10" s="101" t="s">
        <v>69</v>
      </c>
      <c r="C10" s="25">
        <f>COUNTIFS(개발일정표!$A:$A,$A$10,개발일정표!$H:$H,"&lt;&gt;삭제",개발일정표!$M:$M,"&lt;&gt;검수제외",개발일정표!$R:$R,"=L1")</f>
        <v>0</v>
      </c>
      <c r="D10" s="25">
        <f>COUNTIFS(개발일정표!$A:$A,$A$10,개발일정표!$H:$H,"&lt;&gt;삭제",개발일정표!$M:$M,"&lt;&gt;검수제외",개발일정표!$R:$R,"=L1",개발일정표!$S:$S,"=Y",개발일정표!$Q:$Q,"&lt;="&amp;$C$1)</f>
        <v>0</v>
      </c>
      <c r="E10" s="26">
        <f t="shared" si="0"/>
        <v>0</v>
      </c>
      <c r="F10" s="25">
        <f>COUNTIFS(개발일정표!$A:$A,$A$10,개발일정표!$H:$H,"&lt;&gt;삭제",개발일정표!$T:$T,"&lt;&gt;검수제외",개발일정표!$Y:$Y,"=L1")</f>
        <v>0</v>
      </c>
      <c r="G10" s="25">
        <f>COUNTIFS(개발일정표!$A:$A,$A$10,개발일정표!$H:$H,"&lt;&gt;삭제",개발일정표!$T:$T,"&lt;&gt;검수제외",개발일정표!$Y:$Y,"=L1",개발일정표!$Z:$Z,"=Y",개발일정표!$X:$X,"&lt;="&amp;$C$1)</f>
        <v>0</v>
      </c>
      <c r="H10" s="26">
        <f t="shared" si="1"/>
        <v>0</v>
      </c>
      <c r="I10" s="25">
        <f>COUNTIFS(개발일정표!$A:$A,$A$10,개발일정표!$H:$H,"&lt;&gt;삭제",개발일정표!$AA:$AA,"&lt;&gt;검수제외",개발일정표!$AF:$AF,"=L1")</f>
        <v>0</v>
      </c>
      <c r="J10" s="25">
        <f>COUNTIFS(개발일정표!$A:$A,$A$10,개발일정표!$H:$H,"&lt;&gt;삭제",개발일정표!$AA:$AA,"&lt;&gt;검수제외",개발일정표!$AF:$AF,"=L1",개발일정표!$AG:$AG,"=Y",개발일정표!$AE:$AE,"&lt;="&amp;$C$1)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55"/>
      <c r="B11" s="101" t="s">
        <v>70</v>
      </c>
      <c r="C11" s="25">
        <f>COUNTIFS(개발일정표!$A:$A,$A$10,개발일정표!$H:$H,"&lt;&gt;삭제",개발일정표!$M:$M,"&lt;&gt;검수제외",개발일정표!$R:$R,"=L2")</f>
        <v>0</v>
      </c>
      <c r="D11" s="25">
        <f>COUNTIFS(개발일정표!$A:$A,$A$10,개발일정표!$H:$H,"&lt;&gt;삭제",개발일정표!$M:$M,"&lt;&gt;검수제외",개발일정표!$R:$R,"=L2",개발일정표!$S:$S,"=Y",개발일정표!$Q:$Q,"&lt;="&amp;$C$1)</f>
        <v>0</v>
      </c>
      <c r="E11" s="26">
        <f t="shared" si="0"/>
        <v>0</v>
      </c>
      <c r="F11" s="25">
        <f>COUNTIFS(개발일정표!$A:$A,$A$10,개발일정표!$H:$H,"&lt;&gt;삭제",개발일정표!$T:$T,"&lt;&gt;검수제외",개발일정표!$Y:$Y,"=L2")</f>
        <v>0</v>
      </c>
      <c r="G11" s="25">
        <f>COUNTIFS(개발일정표!$A:$A,$A$10,개발일정표!$H:$H,"&lt;&gt;삭제",개발일정표!$T:$T,"&lt;&gt;검수제외",개발일정표!$Y:$Y,"=L2",개발일정표!$Z:$Z,"=Y",개발일정표!$X:$X,"&lt;="&amp;$C$1)</f>
        <v>0</v>
      </c>
      <c r="H11" s="26">
        <f t="shared" si="1"/>
        <v>0</v>
      </c>
      <c r="I11" s="25">
        <f>COUNTIFS(개발일정표!$A:$A,$A$10,개발일정표!$H:$H,"&lt;&gt;삭제",개발일정표!$AA:$AA,"&lt;&gt;검수제외",개발일정표!$AF:$AF,"=L2")</f>
        <v>0</v>
      </c>
      <c r="J11" s="25">
        <f>COUNTIFS(개발일정표!$A:$A,$A$10,개발일정표!$H:$H,"&lt;&gt;삭제",개발일정표!$AA:$AA,"&lt;&gt;검수제외",개발일정표!$AF:$AF,"=L2",개발일정표!$AG:$AG,"=Y",개발일정표!$AE:$AE,"&lt;="&amp;$C$1)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56"/>
      <c r="B12" s="30" t="s">
        <v>71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6" customFormat="1" ht="21" customHeight="1">
      <c r="A13" s="254" t="s">
        <v>445</v>
      </c>
      <c r="B13" s="101" t="s">
        <v>69</v>
      </c>
      <c r="C13" s="25">
        <f>COUNTIFS(개발일정표!$A:$A,$A$16,개발일정표!$H:$H,"&lt;&gt;삭제",개발일정표!$M:$M,"&lt;&gt;검수제외",개발일정표!$R:$R,"=L1")</f>
        <v>0</v>
      </c>
      <c r="D13" s="25">
        <f>COUNTIFS(개발일정표!$A:$A,$A$16,개발일정표!$H:$H,"&lt;&gt;삭제",개발일정표!$M:$M,"&lt;&gt;검수제외",개발일정표!$R:$R,"=L1",개발일정표!$S:$S,"=Y",개발일정표!$Q:$Q,"&lt;="&amp;$C$1)</f>
        <v>0</v>
      </c>
      <c r="E13" s="26">
        <f t="shared" ref="E13:E15" si="3">IF(C13=0,0,D13/C13)</f>
        <v>0</v>
      </c>
      <c r="F13" s="25">
        <f>COUNTIFS(개발일정표!$A:$A,$A$16,개발일정표!$H:$H,"&lt;&gt;삭제",개발일정표!$T:$T,"&lt;&gt;검수제외",개발일정표!$Y:$Y,"=L1")</f>
        <v>0</v>
      </c>
      <c r="G13" s="25">
        <f>COUNTIFS(개발일정표!$A:$A,$A$16,개발일정표!$H:$H,"&lt;&gt;삭제",개발일정표!$T:$T,"&lt;&gt;검수제외",개발일정표!$Y:$Y,"=L1",개발일정표!$Z:$Z,"=Y",개발일정표!$X:$X,"&lt;="&amp;$C$1)</f>
        <v>0</v>
      </c>
      <c r="H13" s="26">
        <f t="shared" ref="H13:H15" si="4">IF(F13=0,0,G13/F13)</f>
        <v>0</v>
      </c>
      <c r="I13" s="25">
        <f>COUNTIFS(개발일정표!$A:$A,$A$16,개발일정표!$H:$H,"&lt;&gt;삭제",개발일정표!$AA:$AA,"&lt;&gt;검수제외",개발일정표!$AF:$AF,"=L1")</f>
        <v>0</v>
      </c>
      <c r="J13" s="25">
        <f>COUNTIFS(개발일정표!$A:$A,$A$16,개발일정표!$H:$H,"&lt;&gt;삭제",개발일정표!$AA:$AA,"&lt;&gt;검수제외",개발일정표!$AF:$AF,"=L1",개발일정표!$AG:$AG,"=Y",개발일정표!$AE:$AE,"&lt;="&amp;$C$1)</f>
        <v>0</v>
      </c>
      <c r="K13" s="26">
        <f t="shared" ref="K13:K15" si="5">IF(I13=0,0,J13/I13)</f>
        <v>0</v>
      </c>
      <c r="P13" s="17"/>
      <c r="Q13" s="17"/>
    </row>
    <row r="14" spans="1:31" s="56" customFormat="1" ht="21" customHeight="1">
      <c r="A14" s="255"/>
      <c r="B14" s="101" t="s">
        <v>70</v>
      </c>
      <c r="C14" s="25">
        <f>COUNTIFS(개발일정표!$A:$A,$A$16,개발일정표!$H:$H,"&lt;&gt;삭제",개발일정표!$M:$M,"&lt;&gt;검수제외",개발일정표!$R:$R,"=L2")</f>
        <v>0</v>
      </c>
      <c r="D14" s="25">
        <f>COUNTIFS(개발일정표!$A:$A,$A$16,개발일정표!$H:$H,"&lt;&gt;삭제",개발일정표!$M:$M,"&lt;&gt;검수제외",개발일정표!$R:$R,"=L2",개발일정표!$S:$S,"=Y",개발일정표!$Q:$Q,"&lt;="&amp;$C$1)</f>
        <v>0</v>
      </c>
      <c r="E14" s="26">
        <f t="shared" si="3"/>
        <v>0</v>
      </c>
      <c r="F14" s="25">
        <f>COUNTIFS(개발일정표!$A:$A,$A$16,개발일정표!$H:$H,"&lt;&gt;삭제",개발일정표!$T:$T,"&lt;&gt;검수제외",개발일정표!$Y:$Y,"=L2")</f>
        <v>0</v>
      </c>
      <c r="G14" s="25">
        <f>COUNTIFS(개발일정표!$A:$A,$A$16,개발일정표!$H:$H,"&lt;&gt;삭제",개발일정표!$T:$T,"&lt;&gt;검수제외",개발일정표!$Y:$Y,"=L2",개발일정표!$Z:$Z,"=Y",개발일정표!$X:$X,"&lt;="&amp;$C$1)</f>
        <v>0</v>
      </c>
      <c r="H14" s="26">
        <f t="shared" si="4"/>
        <v>0</v>
      </c>
      <c r="I14" s="25">
        <f>COUNTIFS(개발일정표!$A:$A,$A$16,개발일정표!$H:$H,"&lt;&gt;삭제",개발일정표!$AA:$AA,"&lt;&gt;검수제외",개발일정표!$AF:$AF,"=L2")</f>
        <v>0</v>
      </c>
      <c r="J14" s="25">
        <f>COUNTIFS(개발일정표!$A:$A,$A$16,개발일정표!$H:$H,"&lt;&gt;삭제",개발일정표!$AA:$AA,"&lt;&gt;검수제외",개발일정표!$AF:$AF,"=L2",개발일정표!$AG:$AG,"=Y",개발일정표!$AE:$AE,"&lt;="&amp;$C$1)</f>
        <v>0</v>
      </c>
      <c r="K14" s="26">
        <f t="shared" si="5"/>
        <v>0</v>
      </c>
      <c r="P14" s="17"/>
      <c r="Q14" s="17"/>
    </row>
    <row r="15" spans="1:31" s="56" customFormat="1" ht="21" customHeight="1">
      <c r="A15" s="256"/>
      <c r="B15" s="30" t="s">
        <v>71</v>
      </c>
      <c r="C15" s="31">
        <f>SUM(C13:C14)</f>
        <v>0</v>
      </c>
      <c r="D15" s="31">
        <f>SUM(D13:D14)</f>
        <v>0</v>
      </c>
      <c r="E15" s="32">
        <f t="shared" si="3"/>
        <v>0</v>
      </c>
      <c r="F15" s="31">
        <f>SUM(F13:F14)</f>
        <v>0</v>
      </c>
      <c r="G15" s="31">
        <f>SUM(G13:G14)</f>
        <v>0</v>
      </c>
      <c r="H15" s="32">
        <f t="shared" si="4"/>
        <v>0</v>
      </c>
      <c r="I15" s="31">
        <f>SUM(I13:I14)</f>
        <v>0</v>
      </c>
      <c r="J15" s="31">
        <f>SUM(J13:J14)</f>
        <v>0</v>
      </c>
      <c r="K15" s="32">
        <f t="shared" si="5"/>
        <v>0</v>
      </c>
      <c r="P15" s="17"/>
      <c r="Q15" s="17"/>
    </row>
    <row r="16" spans="1:31" s="1" customFormat="1" ht="21" customHeight="1">
      <c r="A16" s="254" t="s">
        <v>444</v>
      </c>
      <c r="B16" s="101" t="s">
        <v>69</v>
      </c>
      <c r="C16" s="25">
        <f>COUNTIFS(개발일정표!$A:$A,$A$16,개발일정표!$H:$H,"&lt;&gt;삭제",개발일정표!$M:$M,"&lt;&gt;검수제외",개발일정표!$R:$R,"=L1")</f>
        <v>0</v>
      </c>
      <c r="D16" s="25">
        <f>COUNTIFS(개발일정표!$A:$A,$A$16,개발일정표!$H:$H,"&lt;&gt;삭제",개발일정표!$M:$M,"&lt;&gt;검수제외",개발일정표!$R:$R,"=L1",개발일정표!$S:$S,"=Y",개발일정표!$Q:$Q,"&lt;="&amp;$C$1)</f>
        <v>0</v>
      </c>
      <c r="E16" s="26">
        <f t="shared" si="0"/>
        <v>0</v>
      </c>
      <c r="F16" s="25">
        <f>COUNTIFS(개발일정표!$A:$A,$A$16,개발일정표!$H:$H,"&lt;&gt;삭제",개발일정표!$T:$T,"&lt;&gt;검수제외",개발일정표!$Y:$Y,"=L1")</f>
        <v>0</v>
      </c>
      <c r="G16" s="25">
        <f>COUNTIFS(개발일정표!$A:$A,$A$16,개발일정표!$H:$H,"&lt;&gt;삭제",개발일정표!$T:$T,"&lt;&gt;검수제외",개발일정표!$Y:$Y,"=L1",개발일정표!$Z:$Z,"=Y",개발일정표!$X:$X,"&lt;="&amp;$C$1)</f>
        <v>0</v>
      </c>
      <c r="H16" s="26">
        <f t="shared" si="1"/>
        <v>0</v>
      </c>
      <c r="I16" s="25">
        <f>COUNTIFS(개발일정표!$A:$A,$A$16,개발일정표!$H:$H,"&lt;&gt;삭제",개발일정표!$AA:$AA,"&lt;&gt;검수제외",개발일정표!$AF:$AF,"=L1")</f>
        <v>0</v>
      </c>
      <c r="J16" s="25">
        <f>COUNTIFS(개발일정표!$A:$A,$A$16,개발일정표!$H:$H,"&lt;&gt;삭제",개발일정표!$AA:$AA,"&lt;&gt;검수제외",개발일정표!$AF:$AF,"=L1",개발일정표!$AG:$AG,"=Y",개발일정표!$AE:$AE,"&lt;="&amp;$C$1)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55"/>
      <c r="B17" s="101" t="s">
        <v>70</v>
      </c>
      <c r="C17" s="25">
        <f>COUNTIFS(개발일정표!$A:$A,$A$16,개발일정표!$H:$H,"&lt;&gt;삭제",개발일정표!$M:$M,"&lt;&gt;검수제외",개발일정표!$R:$R,"=L2")</f>
        <v>0</v>
      </c>
      <c r="D17" s="25">
        <f>COUNTIFS(개발일정표!$A:$A,$A$16,개발일정표!$H:$H,"&lt;&gt;삭제",개발일정표!$M:$M,"&lt;&gt;검수제외",개발일정표!$R:$R,"=L2",개발일정표!$S:$S,"=Y",개발일정표!$Q:$Q,"&lt;="&amp;$C$1)</f>
        <v>0</v>
      </c>
      <c r="E17" s="26">
        <f t="shared" si="0"/>
        <v>0</v>
      </c>
      <c r="F17" s="25">
        <f>COUNTIFS(개발일정표!$A:$A,$A$16,개발일정표!$H:$H,"&lt;&gt;삭제",개발일정표!$T:$T,"&lt;&gt;검수제외",개발일정표!$Y:$Y,"=L2")</f>
        <v>0</v>
      </c>
      <c r="G17" s="25">
        <f>COUNTIFS(개발일정표!$A:$A,$A$16,개발일정표!$H:$H,"&lt;&gt;삭제",개발일정표!$T:$T,"&lt;&gt;검수제외",개발일정표!$Y:$Y,"=L2",개발일정표!$Z:$Z,"=Y",개발일정표!$X:$X,"&lt;="&amp;$C$1)</f>
        <v>0</v>
      </c>
      <c r="H17" s="26">
        <f t="shared" si="1"/>
        <v>0</v>
      </c>
      <c r="I17" s="25">
        <f>COUNTIFS(개발일정표!$A:$A,$A$16,개발일정표!$H:$H,"&lt;&gt;삭제",개발일정표!$AA:$AA,"&lt;&gt;검수제외",개발일정표!$AF:$AF,"=L2")</f>
        <v>0</v>
      </c>
      <c r="J17" s="25">
        <f>COUNTIFS(개발일정표!$A:$A,$A$16,개발일정표!$H:$H,"&lt;&gt;삭제",개발일정표!$AA:$AA,"&lt;&gt;검수제외",개발일정표!$AF:$AF,"=L2",개발일정표!$AG:$AG,"=Y",개발일정표!$AE:$AE,"&lt;="&amp;$C$1)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56"/>
      <c r="B18" s="30" t="s">
        <v>71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54" t="s">
        <v>442</v>
      </c>
      <c r="B19" s="101" t="s">
        <v>69</v>
      </c>
      <c r="C19" s="25">
        <f>COUNTIFS(개발일정표!$A:$A,$A$19,개발일정표!$H:$H,"&lt;&gt;삭제",개발일정표!$M:$M,"&lt;&gt;검수제외",개발일정표!$R:$R,"=L1")</f>
        <v>0</v>
      </c>
      <c r="D19" s="25">
        <f>COUNTIFS(개발일정표!$A:$A,$A$19,개발일정표!$H:$H,"&lt;&gt;삭제",개발일정표!$M:$M,"&lt;&gt;검수제외",개발일정표!$R:$R,"=L1",개발일정표!$S:$S,"=Y",개발일정표!$Q:$Q,"&lt;="&amp;$C$1)</f>
        <v>0</v>
      </c>
      <c r="E19" s="26">
        <f t="shared" si="0"/>
        <v>0</v>
      </c>
      <c r="F19" s="25">
        <f>COUNTIFS(개발일정표!$A:$A,$A$19,개발일정표!$H:$H,"&lt;&gt;삭제",개발일정표!$T:$T,"&lt;&gt;검수제외",개발일정표!$Y:$Y,"=L1")</f>
        <v>0</v>
      </c>
      <c r="G19" s="25">
        <f>COUNTIFS(개발일정표!$A:$A,$A$19,개발일정표!$H:$H,"&lt;&gt;삭제",개발일정표!$T:$T,"&lt;&gt;검수제외",개발일정표!$Y:$Y,"=L1",개발일정표!$Z:$Z,"=Y",개발일정표!$X:$X,"&lt;="&amp;$C$1)</f>
        <v>0</v>
      </c>
      <c r="H19" s="26">
        <f t="shared" si="1"/>
        <v>0</v>
      </c>
      <c r="I19" s="25">
        <f>COUNTIFS(개발일정표!$A:$A,$A$19,개발일정표!$H:$H,"&lt;&gt;삭제",개발일정표!$AA:$AA,"&lt;&gt;검수제외",개발일정표!$AF:$AF,"=L1")</f>
        <v>0</v>
      </c>
      <c r="J19" s="25">
        <f>COUNTIFS(개발일정표!$A:$A,$A$19,개발일정표!$H:$H,"&lt;&gt;삭제",개발일정표!$AA:$AA,"&lt;&gt;검수제외",개발일정표!$AF:$AF,"=L1",개발일정표!$AG:$AG,"=Y",개발일정표!$AE:$AE,"&lt;="&amp;$C$1)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55"/>
      <c r="B20" s="101" t="s">
        <v>70</v>
      </c>
      <c r="C20" s="25">
        <f>COUNTIFS(개발일정표!$A:$A,$A$19,개발일정표!$H:$H,"&lt;&gt;삭제",개발일정표!$M:$M,"&lt;&gt;검수제외",개발일정표!$R:$R,"=L2")</f>
        <v>0</v>
      </c>
      <c r="D20" s="25">
        <f>COUNTIFS(개발일정표!$A:$A,$A$19,개발일정표!$H:$H,"&lt;&gt;삭제",개발일정표!$M:$M,"&lt;&gt;검수제외",개발일정표!$R:$R,"=L2",개발일정표!$S:$S,"=Y",개발일정표!$Q:$Q,"&lt;="&amp;$C$1)</f>
        <v>0</v>
      </c>
      <c r="E20" s="26">
        <f t="shared" si="0"/>
        <v>0</v>
      </c>
      <c r="F20" s="25">
        <f>COUNTIFS(개발일정표!$A:$A,$A$19,개발일정표!$H:$H,"&lt;&gt;삭제",개발일정표!$T:$T,"&lt;&gt;검수제외",개발일정표!$Y:$Y,"=L2")</f>
        <v>0</v>
      </c>
      <c r="G20" s="25">
        <f>COUNTIFS(개발일정표!$A:$A,$A$19,개발일정표!$H:$H,"&lt;&gt;삭제",개발일정표!$T:$T,"&lt;&gt;검수제외",개발일정표!$Y:$Y,"=L2",개발일정표!$Z:$Z,"=Y",개발일정표!$X:$X,"&lt;="&amp;$C$1)</f>
        <v>0</v>
      </c>
      <c r="H20" s="26">
        <f t="shared" si="1"/>
        <v>0</v>
      </c>
      <c r="I20" s="25">
        <f>COUNTIFS(개발일정표!$A:$A,$A$19,개발일정표!$H:$H,"&lt;&gt;삭제",개발일정표!$AA:$AA,"&lt;&gt;검수제외",개발일정표!$AF:$AF,"=L2")</f>
        <v>0</v>
      </c>
      <c r="J20" s="25">
        <f>COUNTIFS(개발일정표!$A:$A,$A$19,개발일정표!$H:$H,"&lt;&gt;삭제",개발일정표!$AA:$AA,"&lt;&gt;검수제외",개발일정표!$AF:$AF,"=L2",개발일정표!$AG:$AG,"=Y",개발일정표!$AE:$AE,"&lt;="&amp;$C$1)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56"/>
      <c r="B21" s="30" t="s">
        <v>71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54" t="s">
        <v>435</v>
      </c>
      <c r="B22" s="101" t="s">
        <v>69</v>
      </c>
      <c r="C22" s="25">
        <f>COUNTIFS(개발일정표!$A:$A,$A$22,개발일정표!$H:$H,"&lt;&gt;삭제",개발일정표!$M:$M,"&lt;&gt;검수제외",개발일정표!$R:$R,"=L1")</f>
        <v>0</v>
      </c>
      <c r="D22" s="25">
        <f>COUNTIFS(개발일정표!$A:$A,$A$22,개발일정표!$H:$H,"&lt;&gt;삭제",개발일정표!$M:$M,"&lt;&gt;검수제외",개발일정표!$R:$R,"=L1",개발일정표!$S:$S,"=Y",개발일정표!$Q:$Q,"&lt;="&amp;$C$1)</f>
        <v>0</v>
      </c>
      <c r="E22" s="26">
        <f t="shared" si="0"/>
        <v>0</v>
      </c>
      <c r="F22" s="25">
        <f>COUNTIFS(개발일정표!$A:$A,$A$22,개발일정표!$H:$H,"&lt;&gt;삭제",개발일정표!$T:$T,"&lt;&gt;검수제외",개발일정표!$Y:$Y,"=L1")</f>
        <v>0</v>
      </c>
      <c r="G22" s="25">
        <f>COUNTIFS(개발일정표!$A:$A,$A$22,개발일정표!$H:$H,"&lt;&gt;삭제",개발일정표!$T:$T,"&lt;&gt;검수제외",개발일정표!$Y:$Y,"=L1",개발일정표!$Z:$Z,"=Y",개발일정표!$X:$X,"&lt;="&amp;$C$1)</f>
        <v>0</v>
      </c>
      <c r="H22" s="26">
        <f t="shared" si="1"/>
        <v>0</v>
      </c>
      <c r="I22" s="25">
        <f>COUNTIFS(개발일정표!$A:$A,$A$22,개발일정표!$H:$H,"&lt;&gt;삭제",개발일정표!$AA:$AA,"&lt;&gt;검수제외",개발일정표!$AF:$AF,"=L1")</f>
        <v>0</v>
      </c>
      <c r="J22" s="25">
        <f>COUNTIFS(개발일정표!$A:$A,$A$22,개발일정표!$H:$H,"&lt;&gt;삭제",개발일정표!$AA:$AA,"&lt;&gt;검수제외",개발일정표!$AF:$AF,"=L1",개발일정표!$AG:$AG,"=Y",개발일정표!$AE:$AE,"&lt;="&amp;$C$1)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55"/>
      <c r="B23" s="101" t="s">
        <v>70</v>
      </c>
      <c r="C23" s="25">
        <f>COUNTIFS(개발일정표!$A:$A,$A$22,개발일정표!$H:$H,"&lt;&gt;삭제",개발일정표!$M:$M,"&lt;&gt;검수제외",개발일정표!$R:$R,"=L2")</f>
        <v>0</v>
      </c>
      <c r="D23" s="25">
        <f>COUNTIFS(개발일정표!$A:$A,$A$22,개발일정표!$H:$H,"&lt;&gt;삭제",개발일정표!$M:$M,"&lt;&gt;검수제외",개발일정표!$R:$R,"=L2",개발일정표!$S:$S,"=Y",개발일정표!$Q:$Q,"&lt;="&amp;$C$1)</f>
        <v>0</v>
      </c>
      <c r="E23" s="26">
        <f t="shared" si="0"/>
        <v>0</v>
      </c>
      <c r="F23" s="25">
        <f>COUNTIFS(개발일정표!$A:$A,$A$22,개발일정표!$H:$H,"&lt;&gt;삭제",개발일정표!$T:$T,"&lt;&gt;검수제외",개발일정표!$Y:$Y,"=L2")</f>
        <v>0</v>
      </c>
      <c r="G23" s="25">
        <f>COUNTIFS(개발일정표!$A:$A,$A$22,개발일정표!$H:$H,"&lt;&gt;삭제",개발일정표!$T:$T,"&lt;&gt;검수제외",개발일정표!$Y:$Y,"=L2",개발일정표!$Z:$Z,"=Y",개발일정표!$X:$X,"&lt;="&amp;$C$1)</f>
        <v>0</v>
      </c>
      <c r="H23" s="26">
        <f t="shared" si="1"/>
        <v>0</v>
      </c>
      <c r="I23" s="25">
        <f>COUNTIFS(개발일정표!$A:$A,$A$22,개발일정표!$H:$H,"&lt;&gt;삭제",개발일정표!$AA:$AA,"&lt;&gt;검수제외",개발일정표!$AF:$AF,"=L2")</f>
        <v>0</v>
      </c>
      <c r="J23" s="25">
        <f>COUNTIFS(개발일정표!$A:$A,$A$22,개발일정표!$H:$H,"&lt;&gt;삭제",개발일정표!$AA:$AA,"&lt;&gt;검수제외",개발일정표!$AF:$AF,"=L2",개발일정표!$AG:$AG,"=Y",개발일정표!$AE:$AE,"&lt;="&amp;$C$1)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56"/>
      <c r="B24" s="30" t="s">
        <v>71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0" customFormat="1" ht="21" customHeight="1">
      <c r="A25" s="257" t="s">
        <v>72</v>
      </c>
      <c r="B25" s="30" t="s">
        <v>24</v>
      </c>
      <c r="C25" s="42">
        <f>C4+C7+C10+C13+C16+C19+C22</f>
        <v>0</v>
      </c>
      <c r="D25" s="42">
        <f>D4+D7+D10+D13+D16+D19+D22</f>
        <v>0</v>
      </c>
      <c r="E25" s="43">
        <f t="shared" si="0"/>
        <v>0</v>
      </c>
      <c r="F25" s="42">
        <f>F4+F7+F10+F13+F16+F19+F22</f>
        <v>0</v>
      </c>
      <c r="G25" s="42">
        <f>G4+G7+G10+G13+G16+G19+G22</f>
        <v>0</v>
      </c>
      <c r="H25" s="43">
        <f t="shared" si="1"/>
        <v>0</v>
      </c>
      <c r="I25" s="42">
        <f>I4+I7+I10+I13+I16+I19+I22</f>
        <v>0</v>
      </c>
      <c r="J25" s="42">
        <f>J4+J7+J10+J13+J16+J19+J22</f>
        <v>0</v>
      </c>
      <c r="K25" s="43">
        <f t="shared" si="2"/>
        <v>0</v>
      </c>
      <c r="L25" s="98">
        <f>C25+F25+I25</f>
        <v>0</v>
      </c>
      <c r="P25" s="17"/>
      <c r="Q25" s="17"/>
    </row>
    <row r="26" spans="1:17" s="40" customFormat="1" ht="21" customHeight="1">
      <c r="A26" s="258"/>
      <c r="B26" s="30" t="s">
        <v>51</v>
      </c>
      <c r="C26" s="42">
        <f>C5+C8+C11+C14+C17+C20+C23</f>
        <v>0</v>
      </c>
      <c r="D26" s="42">
        <f>D5+D8+D11+D14+D17+D20+D23</f>
        <v>0</v>
      </c>
      <c r="E26" s="43">
        <f t="shared" si="0"/>
        <v>0</v>
      </c>
      <c r="F26" s="42">
        <f>F5+F8+F11+F14+F17+F20+F23</f>
        <v>0</v>
      </c>
      <c r="G26" s="42">
        <f>G5+G8+G11+G14+G17+G20+G23</f>
        <v>0</v>
      </c>
      <c r="H26" s="43">
        <f t="shared" si="1"/>
        <v>0</v>
      </c>
      <c r="I26" s="42">
        <f>I5+I8+I11+I14+I17+I20+I23</f>
        <v>0</v>
      </c>
      <c r="J26" s="42">
        <f>J5+J8+J11+J14+J17+J20+J23</f>
        <v>0</v>
      </c>
      <c r="K26" s="43">
        <f t="shared" si="2"/>
        <v>0</v>
      </c>
      <c r="L26" s="98">
        <f>C26+F26+I26</f>
        <v>0</v>
      </c>
      <c r="P26" s="17"/>
      <c r="Q26" s="17"/>
    </row>
    <row r="27" spans="1:17" ht="21.75" customHeight="1" thickBot="1">
      <c r="A27" s="259"/>
      <c r="B27" s="41"/>
      <c r="C27" s="33">
        <f>C24+C21+C18+C12+C9+C6</f>
        <v>0</v>
      </c>
      <c r="D27" s="33">
        <f>D24+D21+D18+D12+D9+D6</f>
        <v>0</v>
      </c>
      <c r="E27" s="34">
        <f t="shared" si="0"/>
        <v>0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76"/>
    </row>
    <row r="28" spans="1:17" s="56" customFormat="1" ht="21" customHeight="1">
      <c r="A28" s="254" t="s">
        <v>443</v>
      </c>
      <c r="B28" s="101" t="s">
        <v>24</v>
      </c>
      <c r="C28" s="25">
        <f>COUNTIFS(개발일정표!$A:$A,$A$28,개발일정표!$H:$H,"&lt;&gt;삭제",개발일정표!$M:$M,"&lt;&gt;검수제외",개발일정표!$R:$R,"=L1")</f>
        <v>0</v>
      </c>
      <c r="D28" s="25">
        <f>COUNTIFS(개발일정표!$A:$A,$A$28,개발일정표!$H:$H,"&lt;&gt;삭제",개발일정표!$M:$M,"&lt;&gt;검수제외",개발일정표!$R:$R,"=L1",개발일정표!$S:$S,"=Y",개발일정표!$Q:$Q,"&lt;="&amp;$C$1)</f>
        <v>0</v>
      </c>
      <c r="E28" s="26">
        <f t="shared" ref="E28:E30" si="6">IF(C28=0,0,D28/C28)</f>
        <v>0</v>
      </c>
      <c r="F28" s="25">
        <f>COUNTIFS(개발일정표!$A:$A,$A$28,개발일정표!$H:$H,"&lt;&gt;삭제",개발일정표!$T:$T,"&lt;&gt;검수제외",개발일정표!$Y:$Y,"=L1")</f>
        <v>0</v>
      </c>
      <c r="G28" s="25">
        <f>COUNTIFS(개발일정표!$A:$A,$A$28,개발일정표!$H:$H,"&lt;&gt;삭제",개발일정표!$T:$T,"&lt;&gt;검수제외",개발일정표!$Y:$Y,"=L1",개발일정표!$Z:$Z,"=Y",개발일정표!$X:$X,"&lt;="&amp;$C$1)</f>
        <v>0</v>
      </c>
      <c r="H28" s="26">
        <f t="shared" ref="H28:H30" si="7">IF(F28=0,0,G28/F28)</f>
        <v>0</v>
      </c>
      <c r="I28" s="25">
        <f>COUNTIFS(개발일정표!$A:$A,$A$28,개발일정표!$H:$H,"&lt;&gt;삭제",개발일정표!$AA:$AA,"&lt;&gt;검수제외",개발일정표!$AF:$AF,"=L1")</f>
        <v>0</v>
      </c>
      <c r="J28" s="25">
        <f>COUNTIFS(개발일정표!$A:$A,$A$28,개발일정표!$H:$H,"&lt;&gt;삭제",개발일정표!$AA:$AA,"&lt;&gt;검수제외",개발일정표!$AF:$AF,"=L1",개발일정표!$AG:$AG,"=Y",개발일정표!$AE:$AE,"&lt;="&amp;$C$1)</f>
        <v>0</v>
      </c>
      <c r="K28" s="26">
        <f t="shared" ref="K28:K30" si="8">IF(I28=0,0,J28/I28)</f>
        <v>0</v>
      </c>
      <c r="P28" s="17"/>
      <c r="Q28" s="17"/>
    </row>
    <row r="29" spans="1:17" s="56" customFormat="1" ht="21" customHeight="1">
      <c r="A29" s="255"/>
      <c r="B29" s="101" t="s">
        <v>51</v>
      </c>
      <c r="C29" s="25">
        <f>COUNTIFS(개발일정표!$A:$A,$A$28,개발일정표!$H:$H,"&lt;&gt;삭제",개발일정표!$M:$M,"&lt;&gt;검수제외",개발일정표!$R:$R,"=L2")</f>
        <v>0</v>
      </c>
      <c r="D29" s="25">
        <f>COUNTIFS(개발일정표!$A:$A,$A$28,개발일정표!$H:$H,"&lt;&gt;삭제",개발일정표!$M:$M,"&lt;&gt;검수제외",개발일정표!$R:$R,"=L2",개발일정표!$S:$S,"=Y",개발일정표!$Q:$Q,"&lt;="&amp;$C$1)</f>
        <v>0</v>
      </c>
      <c r="E29" s="26">
        <f t="shared" si="6"/>
        <v>0</v>
      </c>
      <c r="F29" s="25">
        <f>COUNTIFS(개발일정표!$A:$A,$A$28,개발일정표!$H:$H,"&lt;&gt;삭제",개발일정표!$T:$T,"&lt;&gt;검수제외",개발일정표!$Y:$Y,"=L2")</f>
        <v>0</v>
      </c>
      <c r="G29" s="25">
        <f>COUNTIFS(개발일정표!$A:$A,$A$28,개발일정표!$H:$H,"&lt;&gt;삭제",개발일정표!$T:$T,"&lt;&gt;검수제외",개발일정표!$Y:$Y,"=L2",개발일정표!$Z:$Z,"=Y",개발일정표!$X:$X,"&lt;="&amp;$C$1)</f>
        <v>0</v>
      </c>
      <c r="H29" s="26">
        <f t="shared" si="7"/>
        <v>0</v>
      </c>
      <c r="I29" s="25">
        <f>COUNTIFS(개발일정표!$A:$A,$A$28,개발일정표!$H:$H,"&lt;&gt;삭제",개발일정표!$AA:$AA,"&lt;&gt;검수제외",개발일정표!$AF:$AF,"=L2")</f>
        <v>0</v>
      </c>
      <c r="J29" s="25">
        <f>COUNTIFS(개발일정표!$A:$A,$A$28,개발일정표!$H:$H,"&lt;&gt;삭제",개발일정표!$AA:$AA,"&lt;&gt;검수제외",개발일정표!$AF:$AF,"=L2",개발일정표!$AG:$AG,"=Y",개발일정표!$AE:$AE,"&lt;="&amp;$C$1)</f>
        <v>0</v>
      </c>
      <c r="K29" s="26">
        <f t="shared" si="8"/>
        <v>0</v>
      </c>
      <c r="P29" s="17"/>
      <c r="Q29" s="17"/>
    </row>
    <row r="30" spans="1:17" s="56" customFormat="1" ht="21" customHeight="1">
      <c r="A30" s="256"/>
      <c r="B30" s="30" t="s">
        <v>57</v>
      </c>
      <c r="C30" s="31">
        <f>SUM(C28:C29)</f>
        <v>0</v>
      </c>
      <c r="D30" s="31">
        <f>SUM(D28:D29)</f>
        <v>0</v>
      </c>
      <c r="E30" s="32">
        <f t="shared" si="6"/>
        <v>0</v>
      </c>
      <c r="F30" s="31">
        <f>SUM(F28:F29)</f>
        <v>0</v>
      </c>
      <c r="G30" s="31">
        <f>SUM(G28:G29)</f>
        <v>0</v>
      </c>
      <c r="H30" s="32">
        <f t="shared" si="7"/>
        <v>0</v>
      </c>
      <c r="I30" s="31">
        <f>SUM(I28:I29)</f>
        <v>0</v>
      </c>
      <c r="J30" s="31">
        <f>SUM(J28:J29)</f>
        <v>0</v>
      </c>
      <c r="K30" s="32">
        <f t="shared" si="8"/>
        <v>0</v>
      </c>
      <c r="P30" s="17"/>
      <c r="Q30" s="17"/>
    </row>
    <row r="31" spans="1:17" s="56" customFormat="1" ht="21" customHeight="1">
      <c r="A31" s="257" t="s">
        <v>107</v>
      </c>
      <c r="B31" s="30" t="s">
        <v>24</v>
      </c>
      <c r="C31" s="42">
        <f t="shared" ref="C31:D33" si="9">C25+C28</f>
        <v>0</v>
      </c>
      <c r="D31" s="42">
        <f t="shared" si="9"/>
        <v>0</v>
      </c>
      <c r="E31" s="43">
        <f t="shared" ref="E31:E33" si="10">IF(C31=0,0,D31/C31)</f>
        <v>0</v>
      </c>
      <c r="F31" s="42">
        <f t="shared" ref="F31:G33" si="11">F25+F28</f>
        <v>0</v>
      </c>
      <c r="G31" s="42">
        <f t="shared" si="11"/>
        <v>0</v>
      </c>
      <c r="H31" s="43">
        <f t="shared" ref="H31:H33" si="12">IF(F31=0,0,G31/F31)</f>
        <v>0</v>
      </c>
      <c r="I31" s="42">
        <f t="shared" ref="I31:J33" si="13">I25+I28</f>
        <v>0</v>
      </c>
      <c r="J31" s="42">
        <f t="shared" si="13"/>
        <v>0</v>
      </c>
      <c r="K31" s="43">
        <f t="shared" ref="K31:K33" si="14">IF(I31=0,0,J31/I31)</f>
        <v>0</v>
      </c>
      <c r="L31" s="98">
        <f>C31+F31+I31</f>
        <v>0</v>
      </c>
      <c r="P31" s="17"/>
      <c r="Q31" s="17"/>
    </row>
    <row r="32" spans="1:17" s="56" customFormat="1" ht="21" customHeight="1">
      <c r="A32" s="258"/>
      <c r="B32" s="30" t="s">
        <v>51</v>
      </c>
      <c r="C32" s="42">
        <f t="shared" si="9"/>
        <v>0</v>
      </c>
      <c r="D32" s="42">
        <f t="shared" si="9"/>
        <v>0</v>
      </c>
      <c r="E32" s="43">
        <f t="shared" si="10"/>
        <v>0</v>
      </c>
      <c r="F32" s="42">
        <f t="shared" si="11"/>
        <v>0</v>
      </c>
      <c r="G32" s="42">
        <f t="shared" si="11"/>
        <v>0</v>
      </c>
      <c r="H32" s="43">
        <f t="shared" si="12"/>
        <v>0</v>
      </c>
      <c r="I32" s="42">
        <f t="shared" si="13"/>
        <v>0</v>
      </c>
      <c r="J32" s="42">
        <f t="shared" si="13"/>
        <v>0</v>
      </c>
      <c r="K32" s="43">
        <f t="shared" si="14"/>
        <v>0</v>
      </c>
      <c r="L32" s="98">
        <f>C32+F32+I32</f>
        <v>0</v>
      </c>
      <c r="P32" s="17"/>
      <c r="Q32" s="17"/>
    </row>
    <row r="33" spans="1:12" ht="21.75" customHeight="1" thickBot="1">
      <c r="A33" s="259"/>
      <c r="B33" s="41"/>
      <c r="C33" s="33">
        <f t="shared" si="9"/>
        <v>0</v>
      </c>
      <c r="D33" s="33">
        <f t="shared" si="9"/>
        <v>0</v>
      </c>
      <c r="E33" s="34">
        <f t="shared" si="10"/>
        <v>0</v>
      </c>
      <c r="F33" s="33">
        <f t="shared" si="11"/>
        <v>0</v>
      </c>
      <c r="G33" s="33">
        <f t="shared" si="11"/>
        <v>0</v>
      </c>
      <c r="H33" s="34">
        <f t="shared" si="12"/>
        <v>0</v>
      </c>
      <c r="I33" s="33">
        <f t="shared" si="13"/>
        <v>0</v>
      </c>
      <c r="J33" s="33">
        <f t="shared" si="13"/>
        <v>0</v>
      </c>
      <c r="K33" s="34">
        <f t="shared" si="14"/>
        <v>0</v>
      </c>
      <c r="L33" s="76"/>
    </row>
    <row r="34" spans="1:12" ht="4.5" customHeight="1"/>
    <row r="35" spans="1:12">
      <c r="A35" s="86"/>
      <c r="B35" s="87" t="s">
        <v>82</v>
      </c>
      <c r="C35" s="42">
        <f>COUNTIFS(개발일정표!$H:$H,"&lt;&gt;삭제",개발일정표!$M:$M,"&lt;&gt;검수제외",개발일정표!$R:$R,"=L3")</f>
        <v>0</v>
      </c>
      <c r="D35" s="42"/>
      <c r="E35" s="42"/>
      <c r="F35" s="42">
        <f>(COUNTIFS(개발일정표!$H:$H,"&lt;&gt;삭제",개발일정표!$T:$T,"&lt;&gt;검수제외",개발일정표!$Y:$Y,"=L3"))</f>
        <v>0</v>
      </c>
      <c r="G35" s="42"/>
      <c r="H35" s="42"/>
      <c r="I35" s="42">
        <f>COUNTIFS(개발일정표!$H:$H,"&lt;&gt;삭제",개발일정표!$AA:$AA,"&lt;&gt;검수제외",개발일정표!$AF:$AF,"=L3")</f>
        <v>0</v>
      </c>
      <c r="J35" s="42"/>
      <c r="K35" s="42"/>
      <c r="L35" s="98">
        <f>C35+F35+I35</f>
        <v>0</v>
      </c>
    </row>
    <row r="36" spans="1:12">
      <c r="A36" s="88"/>
      <c r="B36" s="89" t="s">
        <v>83</v>
      </c>
      <c r="C36" s="31">
        <f>C33+C35</f>
        <v>0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76">
        <f>L31+L32+L35</f>
        <v>0</v>
      </c>
    </row>
    <row r="38" spans="1:12">
      <c r="A38" t="s">
        <v>84</v>
      </c>
      <c r="B38" t="s">
        <v>85</v>
      </c>
      <c r="D38" s="76">
        <f>C31-D31</f>
        <v>0</v>
      </c>
      <c r="G38" s="76">
        <f>F25-G25</f>
        <v>0</v>
      </c>
      <c r="J38" s="76">
        <f>I25-J25</f>
        <v>0</v>
      </c>
    </row>
    <row r="39" spans="1:12">
      <c r="B39" t="s">
        <v>25</v>
      </c>
      <c r="D39" s="76">
        <f>C32-D32</f>
        <v>0</v>
      </c>
      <c r="G39" s="76">
        <f>F26-G26</f>
        <v>0</v>
      </c>
      <c r="J39" s="76">
        <f>I26-J26</f>
        <v>0</v>
      </c>
    </row>
    <row r="41" spans="1:12">
      <c r="A41" t="s">
        <v>104</v>
      </c>
      <c r="B41" t="s">
        <v>105</v>
      </c>
      <c r="C41" s="97" t="e">
        <f>C31/C$36</f>
        <v>#DIV/0!</v>
      </c>
      <c r="F41" s="97" t="e">
        <f>F31/F$36</f>
        <v>#DIV/0!</v>
      </c>
      <c r="I41" s="97" t="e">
        <f>I31/I$36</f>
        <v>#DIV/0!</v>
      </c>
      <c r="L41" s="97" t="e">
        <f>L31/L$36</f>
        <v>#DIV/0!</v>
      </c>
    </row>
    <row r="42" spans="1:12">
      <c r="B42" t="s">
        <v>25</v>
      </c>
      <c r="C42" s="97" t="e">
        <f t="shared" ref="C42" si="15">C32/C$36</f>
        <v>#DIV/0!</v>
      </c>
      <c r="F42" s="97" t="e">
        <f t="shared" ref="F42" si="16">F32/F$36</f>
        <v>#DIV/0!</v>
      </c>
      <c r="I42" s="97" t="e">
        <f t="shared" ref="I42" si="17">I32/I$36</f>
        <v>#DIV/0!</v>
      </c>
      <c r="L42" s="97" t="e">
        <f t="shared" ref="L42" si="18">L32/L$36</f>
        <v>#DIV/0!</v>
      </c>
    </row>
    <row r="43" spans="1:12">
      <c r="B43" t="s">
        <v>26</v>
      </c>
      <c r="C43" s="97" t="e">
        <f>C35/C$36</f>
        <v>#DIV/0!</v>
      </c>
      <c r="F43" s="97" t="e">
        <f>F35/F$36</f>
        <v>#DIV/0!</v>
      </c>
      <c r="I43" s="97" t="e">
        <f>I35/I$36</f>
        <v>#DIV/0!</v>
      </c>
      <c r="L43" s="97" t="e">
        <f>L35/L$36</f>
        <v>#DIV/0!</v>
      </c>
    </row>
    <row r="44" spans="1:12">
      <c r="C44" s="97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개발진척현황</vt:lpstr>
      <vt:lpstr>개발일정표</vt:lpstr>
      <vt:lpstr>Sheet1</vt:lpstr>
      <vt:lpstr>Sheet2</vt:lpstr>
      <vt:lpstr>주간진척</vt:lpstr>
      <vt:lpstr>담당자별-개발진척</vt:lpstr>
      <vt:lpstr>결함조치현황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jklee</cp:lastModifiedBy>
  <cp:lastPrinted>2015-03-05T09:03:47Z</cp:lastPrinted>
  <dcterms:created xsi:type="dcterms:W3CDTF">1998-12-28T01:18:47Z</dcterms:created>
  <dcterms:modified xsi:type="dcterms:W3CDTF">2017-03-02T11:12:26Z</dcterms:modified>
</cp:coreProperties>
</file>