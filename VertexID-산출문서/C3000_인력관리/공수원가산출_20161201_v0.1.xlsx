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C3000_인력관리\"/>
    </mc:Choice>
  </mc:AlternateContent>
  <bookViews>
    <workbookView xWindow="0" yWindow="0" windowWidth="12720" windowHeight="6645" activeTab="1"/>
  </bookViews>
  <sheets>
    <sheet name="견적서" sheetId="12" r:id="rId1"/>
    <sheet name="공수" sheetId="1" r:id="rId2"/>
    <sheet name="단가" sheetId="5" r:id="rId3"/>
  </sheets>
  <definedNames>
    <definedName name="_xlnm._FilterDatabase" localSheetId="1" hidden="1">공수!$A$2:$AM$13</definedName>
    <definedName name="_xlnm.Print_Area" localSheetId="0">견적서!$A$1:$G$56</definedName>
    <definedName name="_xlnm.Print_Titles" localSheetId="0">견적서!#REF!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K7" i="1" s="1"/>
  <c r="L7" i="1"/>
  <c r="S7" i="1" l="1"/>
  <c r="M7" i="1"/>
  <c r="N7" i="1" s="1"/>
  <c r="G46" i="12"/>
  <c r="G45" i="12"/>
  <c r="G44" i="12"/>
  <c r="E47" i="12" s="1"/>
  <c r="G42" i="12"/>
  <c r="G40" i="12"/>
  <c r="G38" i="12"/>
  <c r="G36" i="12"/>
  <c r="G34" i="12"/>
  <c r="E4" i="12"/>
  <c r="T7" i="1" l="1"/>
  <c r="R7" i="1"/>
  <c r="X7" i="1" s="1"/>
  <c r="Q7" i="1"/>
  <c r="W7" i="1" s="1"/>
  <c r="P7" i="1"/>
  <c r="V7" i="1" s="1"/>
  <c r="O7" i="1"/>
  <c r="U7" i="1" s="1"/>
  <c r="E43" i="12"/>
  <c r="J8" i="1" l="1"/>
  <c r="J9" i="1"/>
  <c r="J10" i="1"/>
  <c r="J11" i="1"/>
  <c r="J6" i="1"/>
  <c r="E26" i="12" s="1"/>
  <c r="G26" i="12" s="1"/>
  <c r="J4" i="1"/>
  <c r="E27" i="12" s="1"/>
  <c r="G27" i="12" s="1"/>
  <c r="J3" i="1"/>
  <c r="S3" i="1" l="1"/>
  <c r="E25" i="12"/>
  <c r="E28" i="12"/>
  <c r="G28" i="12" s="1"/>
  <c r="H5" i="1"/>
  <c r="H12" i="1"/>
  <c r="E29" i="12" l="1"/>
  <c r="G25" i="12"/>
  <c r="F29" i="12" s="1"/>
  <c r="H13" i="1"/>
  <c r="E30" i="12" l="1"/>
  <c r="F48" i="12" s="1"/>
  <c r="A10" i="12" s="1"/>
  <c r="F18" i="12"/>
  <c r="G18" i="12" s="1"/>
  <c r="E12" i="1"/>
  <c r="F12" i="1"/>
  <c r="G12" i="1"/>
  <c r="I12" i="1"/>
  <c r="E5" i="1"/>
  <c r="F5" i="1"/>
  <c r="G5" i="1"/>
  <c r="I5" i="1"/>
  <c r="K10" i="1" l="1"/>
  <c r="K3" i="1"/>
  <c r="K6" i="1"/>
  <c r="K9" i="1"/>
  <c r="K11" i="1"/>
  <c r="K8" i="1"/>
  <c r="K4" i="1"/>
  <c r="F13" i="1"/>
  <c r="I13" i="1"/>
  <c r="J12" i="1"/>
  <c r="J5" i="1"/>
  <c r="G13" i="1"/>
  <c r="E13" i="1"/>
  <c r="S4" i="1"/>
  <c r="S8" i="1" l="1"/>
  <c r="S9" i="1"/>
  <c r="S10" i="1" l="1"/>
  <c r="S11" i="1"/>
  <c r="S6" i="1"/>
  <c r="S5" i="1"/>
  <c r="S12" i="1" l="1"/>
  <c r="S13" i="1" s="1"/>
  <c r="J13" i="1"/>
  <c r="E12" i="5" l="1"/>
  <c r="D12" i="5"/>
  <c r="D11" i="5"/>
  <c r="E11" i="5" s="1"/>
  <c r="E10" i="5"/>
  <c r="D10" i="5"/>
  <c r="D9" i="5"/>
  <c r="E9" i="5" s="1"/>
  <c r="E8" i="5"/>
  <c r="D8" i="5"/>
  <c r="F10" i="5" l="1"/>
  <c r="G10" i="5" s="1"/>
  <c r="F11" i="5"/>
  <c r="H21" i="5" s="1"/>
  <c r="F12" i="5"/>
  <c r="H22" i="5" s="1"/>
  <c r="F8" i="5"/>
  <c r="G8" i="5" s="1"/>
  <c r="F9" i="5"/>
  <c r="G9" i="5" s="1"/>
  <c r="L3" i="1" s="1"/>
  <c r="G12" i="5"/>
  <c r="H18" i="5" l="1"/>
  <c r="L10" i="1"/>
  <c r="M10" i="1" s="1"/>
  <c r="L9" i="1"/>
  <c r="L8" i="1"/>
  <c r="L6" i="1"/>
  <c r="P22" i="5"/>
  <c r="L22" i="5"/>
  <c r="O22" i="5"/>
  <c r="K22" i="5"/>
  <c r="I22" i="5"/>
  <c r="N22" i="5"/>
  <c r="J22" i="5"/>
  <c r="M22" i="5"/>
  <c r="M21" i="5"/>
  <c r="I21" i="5"/>
  <c r="P21" i="5"/>
  <c r="L21" i="5"/>
  <c r="N21" i="5"/>
  <c r="J21" i="5"/>
  <c r="O21" i="5"/>
  <c r="K21" i="5"/>
  <c r="M9" i="5"/>
  <c r="I9" i="5"/>
  <c r="N9" i="5"/>
  <c r="P9" i="5"/>
  <c r="L9" i="5"/>
  <c r="J9" i="5"/>
  <c r="O9" i="5"/>
  <c r="K9" i="5"/>
  <c r="M10" i="5"/>
  <c r="I10" i="5"/>
  <c r="J10" i="5"/>
  <c r="P10" i="5"/>
  <c r="L10" i="5"/>
  <c r="O10" i="5"/>
  <c r="K10" i="5"/>
  <c r="N10" i="5"/>
  <c r="M8" i="5"/>
  <c r="I8" i="5"/>
  <c r="J8" i="5"/>
  <c r="P8" i="5"/>
  <c r="L8" i="5"/>
  <c r="N8" i="5"/>
  <c r="O8" i="5"/>
  <c r="K8" i="5"/>
  <c r="M12" i="5"/>
  <c r="I12" i="5"/>
  <c r="N12" i="5"/>
  <c r="P12" i="5"/>
  <c r="L12" i="5"/>
  <c r="J12" i="5"/>
  <c r="O12" i="5"/>
  <c r="K12" i="5"/>
  <c r="H19" i="5"/>
  <c r="P18" i="5"/>
  <c r="L18" i="5"/>
  <c r="M18" i="5"/>
  <c r="O18" i="5"/>
  <c r="K18" i="5"/>
  <c r="I18" i="5"/>
  <c r="N18" i="5"/>
  <c r="J18" i="5"/>
  <c r="G11" i="5"/>
  <c r="H20" i="5"/>
  <c r="N10" i="1" l="1"/>
  <c r="T10" i="1" s="1"/>
  <c r="Q10" i="1"/>
  <c r="W10" i="1" s="1"/>
  <c r="O10" i="1"/>
  <c r="U10" i="1" s="1"/>
  <c r="P10" i="1"/>
  <c r="V10" i="1" s="1"/>
  <c r="R10" i="1"/>
  <c r="X10" i="1" s="1"/>
  <c r="L4" i="1"/>
  <c r="L11" i="1"/>
  <c r="N20" i="5"/>
  <c r="J20" i="5"/>
  <c r="O20" i="5"/>
  <c r="M20" i="5"/>
  <c r="I20" i="5"/>
  <c r="P20" i="5"/>
  <c r="L20" i="5"/>
  <c r="K20" i="5"/>
  <c r="M11" i="5"/>
  <c r="I11" i="5"/>
  <c r="P11" i="5"/>
  <c r="L11" i="5"/>
  <c r="J11" i="5"/>
  <c r="O11" i="5"/>
  <c r="K11" i="5"/>
  <c r="N11" i="5"/>
  <c r="O19" i="5"/>
  <c r="K19" i="5"/>
  <c r="N19" i="5"/>
  <c r="J19" i="5"/>
  <c r="P19" i="5"/>
  <c r="L19" i="5"/>
  <c r="M19" i="5"/>
  <c r="I19" i="5"/>
  <c r="M6" i="1" l="1"/>
  <c r="M8" i="1"/>
  <c r="N8" i="1" s="1"/>
  <c r="T8" i="1" s="1"/>
  <c r="M9" i="1"/>
  <c r="N9" i="1" s="1"/>
  <c r="T9" i="1" s="1"/>
  <c r="M11" i="1"/>
  <c r="N11" i="1" s="1"/>
  <c r="T11" i="1" s="1"/>
  <c r="R6" i="1" l="1"/>
  <c r="X6" i="1" s="1"/>
  <c r="N6" i="1"/>
  <c r="Q11" i="1"/>
  <c r="W11" i="1" s="1"/>
  <c r="R11" i="1"/>
  <c r="X11" i="1" s="1"/>
  <c r="Q9" i="1"/>
  <c r="W9" i="1" s="1"/>
  <c r="R9" i="1"/>
  <c r="X9" i="1" s="1"/>
  <c r="Q8" i="1"/>
  <c r="W8" i="1" s="1"/>
  <c r="R8" i="1"/>
  <c r="X8" i="1" s="1"/>
  <c r="Q6" i="1"/>
  <c r="M12" i="1"/>
  <c r="P8" i="1"/>
  <c r="V8" i="1" s="1"/>
  <c r="O8" i="1"/>
  <c r="U8" i="1" s="1"/>
  <c r="P11" i="1"/>
  <c r="V11" i="1" s="1"/>
  <c r="O11" i="1"/>
  <c r="U11" i="1" s="1"/>
  <c r="O9" i="1"/>
  <c r="U9" i="1" s="1"/>
  <c r="P9" i="1"/>
  <c r="V9" i="1" s="1"/>
  <c r="O6" i="1"/>
  <c r="U6" i="1" s="1"/>
  <c r="P6" i="1"/>
  <c r="V6" i="1" s="1"/>
  <c r="M4" i="1"/>
  <c r="N4" i="1" s="1"/>
  <c r="T4" i="1" s="1"/>
  <c r="N12" i="1" l="1"/>
  <c r="T12" i="1" s="1"/>
  <c r="T6" i="1"/>
  <c r="R12" i="1"/>
  <c r="X12" i="1" s="1"/>
  <c r="Q4" i="1"/>
  <c r="W4" i="1" s="1"/>
  <c r="R4" i="1"/>
  <c r="X4" i="1" s="1"/>
  <c r="Q12" i="1"/>
  <c r="W6" i="1"/>
  <c r="P12" i="1"/>
  <c r="O12" i="1"/>
  <c r="O4" i="1"/>
  <c r="U4" i="1" s="1"/>
  <c r="P4" i="1"/>
  <c r="V4" i="1" s="1"/>
  <c r="M3" i="1"/>
  <c r="P3" i="1" s="1"/>
  <c r="R3" i="1" l="1"/>
  <c r="R5" i="1" s="1"/>
  <c r="N3" i="1"/>
  <c r="Q3" i="1"/>
  <c r="M5" i="1"/>
  <c r="M13" i="1" s="1"/>
  <c r="O3" i="1"/>
  <c r="U3" i="1" s="1"/>
  <c r="N5" i="1" l="1"/>
  <c r="T3" i="1"/>
  <c r="X3" i="1"/>
  <c r="R13" i="1"/>
  <c r="X13" i="1" s="1"/>
  <c r="X5" i="1"/>
  <c r="O5" i="1"/>
  <c r="U5" i="1" s="1"/>
  <c r="P5" i="1"/>
  <c r="V5" i="1" s="1"/>
  <c r="V3" i="1"/>
  <c r="Q5" i="1"/>
  <c r="Q13" i="1" s="1"/>
  <c r="W3" i="1"/>
  <c r="U12" i="1"/>
  <c r="V12" i="1"/>
  <c r="W12" i="1"/>
  <c r="N13" i="1" l="1"/>
  <c r="T13" i="1" s="1"/>
  <c r="T5" i="1"/>
  <c r="P13" i="1"/>
  <c r="Q14" i="1" s="1"/>
  <c r="W13" i="1"/>
  <c r="R14" i="1"/>
  <c r="O13" i="1"/>
  <c r="W5" i="1"/>
  <c r="O14" i="1" l="1"/>
  <c r="V13" i="1"/>
  <c r="P14" i="1"/>
  <c r="U13" i="1"/>
</calcChain>
</file>

<file path=xl/sharedStrings.xml><?xml version="1.0" encoding="utf-8"?>
<sst xmlns="http://schemas.openxmlformats.org/spreadsheetml/2006/main" count="142" uniqueCount="133">
  <si>
    <t>M2</t>
  </si>
  <si>
    <t>M3</t>
  </si>
  <si>
    <t>M4</t>
  </si>
  <si>
    <t>M5</t>
  </si>
  <si>
    <t>PM</t>
    <phoneticPr fontId="1" type="noConversion"/>
  </si>
  <si>
    <t>PL</t>
    <phoneticPr fontId="1" type="noConversion"/>
  </si>
  <si>
    <t>개발</t>
    <phoneticPr fontId="1" type="noConversion"/>
  </si>
  <si>
    <t>계</t>
    <phoneticPr fontId="1" type="noConversion"/>
  </si>
  <si>
    <t>소계</t>
    <phoneticPr fontId="1" type="noConversion"/>
  </si>
  <si>
    <t>Design</t>
    <phoneticPr fontId="1" type="noConversion"/>
  </si>
  <si>
    <t>합계</t>
    <phoneticPr fontId="1" type="noConversion"/>
  </si>
  <si>
    <t>중급</t>
    <phoneticPr fontId="1" type="noConversion"/>
  </si>
  <si>
    <t>역할</t>
    <phoneticPr fontId="1" type="noConversion"/>
  </si>
  <si>
    <t>등급</t>
    <phoneticPr fontId="1" type="noConversion"/>
  </si>
  <si>
    <t>업무</t>
    <phoneticPr fontId="1" type="noConversion"/>
  </si>
  <si>
    <t>사업총괄/분석</t>
    <phoneticPr fontId="1" type="noConversion"/>
  </si>
  <si>
    <t>특급</t>
    <phoneticPr fontId="1" type="noConversion"/>
  </si>
  <si>
    <t>개발</t>
    <phoneticPr fontId="1" type="noConversion"/>
  </si>
  <si>
    <t>웹/PDA/퍼블리싱/디자인</t>
    <phoneticPr fontId="1" type="noConversion"/>
  </si>
  <si>
    <t>중급</t>
    <phoneticPr fontId="1" type="noConversion"/>
  </si>
  <si>
    <t>2015년도 소프트웨어 기술자 평균임금</t>
    <phoneticPr fontId="5" type="noConversion"/>
  </si>
  <si>
    <t>1. 평균 임금표</t>
    <phoneticPr fontId="5" type="noConversion"/>
  </si>
  <si>
    <t>(단위 : 원)</t>
    <phoneticPr fontId="5" type="noConversion"/>
  </si>
  <si>
    <t>등   급</t>
    <phoneticPr fontId="5" type="noConversion"/>
  </si>
  <si>
    <t>직 접 인 건 비</t>
    <phoneticPr fontId="5" type="noConversion"/>
  </si>
  <si>
    <t>②제경비</t>
    <phoneticPr fontId="5" type="noConversion"/>
  </si>
  <si>
    <t>③기술료</t>
    <phoneticPr fontId="5" type="noConversion"/>
  </si>
  <si>
    <t>④금액</t>
    <phoneticPr fontId="5" type="noConversion"/>
  </si>
  <si>
    <t>DC(%)</t>
    <phoneticPr fontId="8" type="noConversion"/>
  </si>
  <si>
    <t>단  가</t>
    <phoneticPr fontId="5" type="noConversion"/>
  </si>
  <si>
    <t>일  수</t>
    <phoneticPr fontId="5" type="noConversion"/>
  </si>
  <si>
    <t>①금  액</t>
    <phoneticPr fontId="5" type="noConversion"/>
  </si>
  <si>
    <t>①+②+③</t>
    <phoneticPr fontId="5" type="noConversion"/>
  </si>
  <si>
    <t>기술사</t>
    <phoneticPr fontId="8" type="noConversion"/>
  </si>
  <si>
    <t>특급</t>
    <phoneticPr fontId="5" type="noConversion"/>
  </si>
  <si>
    <t>고급</t>
    <phoneticPr fontId="5" type="noConversion"/>
  </si>
  <si>
    <t>중급</t>
    <phoneticPr fontId="5" type="noConversion"/>
  </si>
  <si>
    <t>초급</t>
    <phoneticPr fontId="5" type="noConversion"/>
  </si>
  <si>
    <t>2. 비고</t>
    <phoneticPr fontId="5" type="noConversion"/>
  </si>
  <si>
    <t xml:space="preserve">    1. 법적근거 : 
        1) 통계법 제27조(통계의 공표)에 따름
        2) 2015년 SW기술자 임금실태조사(통계승인 제37501호) 의 SW기술자 평균임금을 공표.
    2. SW기술자 평균임금은 소프트웨어산업진흥법 제22조(소프트웨어사업의 대가지급) 4항 
        ‘소프트웨어기술자의 노임단가’를 지칭함.
        상기 단가는 1일 기준이며, 월 근무일수는 21.0일, 일 근무시간은 8시간으로 산정 함.</t>
    <phoneticPr fontId="8" type="noConversion"/>
  </si>
  <si>
    <t>일단가</t>
    <phoneticPr fontId="8" type="noConversion"/>
  </si>
  <si>
    <t>단가</t>
    <phoneticPr fontId="1" type="noConversion"/>
  </si>
  <si>
    <t>금액</t>
    <phoneticPr fontId="1" type="noConversion"/>
  </si>
  <si>
    <t>원가</t>
    <phoneticPr fontId="1" type="noConversion"/>
  </si>
  <si>
    <t>금액</t>
    <phoneticPr fontId="1" type="noConversion"/>
  </si>
  <si>
    <t>이익율</t>
    <phoneticPr fontId="1" type="noConversion"/>
  </si>
  <si>
    <t>DC30%</t>
    <phoneticPr fontId="1" type="noConversion"/>
  </si>
  <si>
    <t>DC35%</t>
    <phoneticPr fontId="1" type="noConversion"/>
  </si>
  <si>
    <t>DC40%</t>
    <phoneticPr fontId="1" type="noConversion"/>
  </si>
  <si>
    <t>DC45%</t>
    <phoneticPr fontId="1" type="noConversion"/>
  </si>
  <si>
    <t>마스터,출고,반출</t>
  </si>
  <si>
    <t>마스터,입고,반입,재고</t>
  </si>
  <si>
    <t>PDA</t>
  </si>
  <si>
    <t>참여율</t>
    <phoneticPr fontId="1" type="noConversion"/>
  </si>
  <si>
    <t>DC20%</t>
    <phoneticPr fontId="1" type="noConversion"/>
  </si>
  <si>
    <t>1개월</t>
    <phoneticPr fontId="5" type="noConversion"/>
  </si>
  <si>
    <t>세부 업무</t>
  </si>
  <si>
    <t>見     積     書</t>
    <phoneticPr fontId="5" type="noConversion"/>
  </si>
  <si>
    <t>관리No. :</t>
    <phoneticPr fontId="5" type="noConversion"/>
  </si>
  <si>
    <t>견적일자 :</t>
    <phoneticPr fontId="5" type="noConversion"/>
  </si>
  <si>
    <t>下記와 如히 見積합니다.</t>
    <phoneticPr fontId="5" type="noConversion"/>
  </si>
  <si>
    <t xml:space="preserve">     (금액단위: 원, V.A.T.별도)</t>
    <phoneticPr fontId="12" type="noConversion"/>
  </si>
  <si>
    <t>예상일정</t>
    <phoneticPr fontId="5" type="noConversion"/>
  </si>
  <si>
    <t>개발기간</t>
    <phoneticPr fontId="5" type="noConversion"/>
  </si>
  <si>
    <t>Go-Live</t>
    <phoneticPr fontId="5" type="noConversion"/>
  </si>
  <si>
    <t>특이사항</t>
    <phoneticPr fontId="5" type="noConversion"/>
  </si>
  <si>
    <t>업무구분</t>
    <phoneticPr fontId="5" type="noConversion"/>
  </si>
  <si>
    <t>단위</t>
    <phoneticPr fontId="5" type="noConversion"/>
  </si>
  <si>
    <t>공  급  가</t>
    <phoneticPr fontId="5" type="noConversion"/>
  </si>
  <si>
    <t>단  가</t>
    <phoneticPr fontId="5" type="noConversion"/>
  </si>
  <si>
    <t>금  액</t>
    <phoneticPr fontId="5" type="noConversion"/>
  </si>
  <si>
    <t>S/W
개발</t>
    <phoneticPr fontId="5" type="noConversion"/>
  </si>
  <si>
    <t>등급</t>
    <phoneticPr fontId="5" type="noConversion"/>
  </si>
  <si>
    <t>인건비 근거</t>
    <phoneticPr fontId="5" type="noConversion"/>
  </si>
  <si>
    <t>투입공수</t>
    <phoneticPr fontId="5" type="noConversion"/>
  </si>
  <si>
    <t>단가</t>
    <phoneticPr fontId="5" type="noConversion"/>
  </si>
  <si>
    <t>금액</t>
    <phoneticPr fontId="5" type="noConversion"/>
  </si>
  <si>
    <t>개발원가
(한국SW산업협회고시단가)</t>
    <phoneticPr fontId="12" type="noConversion"/>
  </si>
  <si>
    <t>특급</t>
    <phoneticPr fontId="5" type="noConversion"/>
  </si>
  <si>
    <t xml:space="preserve"> - SW기술자 공인노임단가 : 월 노임단가 19,770,541</t>
    <phoneticPr fontId="5" type="noConversion"/>
  </si>
  <si>
    <t>고급</t>
    <phoneticPr fontId="5" type="noConversion"/>
  </si>
  <si>
    <t xml:space="preserve"> - SW기술자 공인노임단가 : 월 노임단가 14,614,387</t>
    <phoneticPr fontId="5" type="noConversion"/>
  </si>
  <si>
    <t>중급</t>
    <phoneticPr fontId="5" type="noConversion"/>
  </si>
  <si>
    <t xml:space="preserve"> - SW기술자 공인노임단가 : 월 노임단가 11,715,166</t>
    <phoneticPr fontId="5" type="noConversion"/>
  </si>
  <si>
    <t>초급</t>
    <phoneticPr fontId="5" type="noConversion"/>
  </si>
  <si>
    <t xml:space="preserve"> - SW기술자 공인노임단가 : 월 노임단가 10,096,448</t>
    <phoneticPr fontId="5" type="noConversion"/>
  </si>
  <si>
    <t>S/W      소            계</t>
    <phoneticPr fontId="5" type="noConversion"/>
  </si>
  <si>
    <t>①</t>
    <phoneticPr fontId="5" type="noConversion"/>
  </si>
  <si>
    <t>품명</t>
    <phoneticPr fontId="5" type="noConversion"/>
  </si>
  <si>
    <t>규격</t>
    <phoneticPr fontId="5" type="noConversion"/>
  </si>
  <si>
    <t>단위(EA)</t>
    <phoneticPr fontId="5" type="noConversion"/>
  </si>
  <si>
    <t>단가</t>
    <phoneticPr fontId="5" type="noConversion"/>
  </si>
  <si>
    <t>공급가</t>
    <phoneticPr fontId="5" type="noConversion"/>
  </si>
  <si>
    <t>S/W
패키지</t>
    <phoneticPr fontId="5" type="noConversion"/>
  </si>
  <si>
    <t>H/W</t>
    <phoneticPr fontId="5" type="noConversion"/>
  </si>
  <si>
    <t>②</t>
    <phoneticPr fontId="5" type="noConversion"/>
  </si>
  <si>
    <t>H/W      소            계(십만원이하절사)</t>
    <phoneticPr fontId="5" type="noConversion"/>
  </si>
  <si>
    <t>설치 및 지원</t>
    <phoneticPr fontId="5" type="noConversion"/>
  </si>
  <si>
    <t>시스템 설치</t>
    <phoneticPr fontId="5" type="noConversion"/>
  </si>
  <si>
    <t>시스템 교육</t>
    <phoneticPr fontId="5" type="noConversion"/>
  </si>
  <si>
    <t>소모품</t>
    <phoneticPr fontId="5" type="noConversion"/>
  </si>
  <si>
    <t>③</t>
    <phoneticPr fontId="5" type="noConversion"/>
  </si>
  <si>
    <t>설치비(공사비포함)      소            계(십만원이하절사)</t>
    <phoneticPr fontId="5" type="noConversion"/>
  </si>
  <si>
    <t>합                 계 (Total Amount) ( ① + ② + ③ )</t>
    <phoneticPr fontId="5" type="noConversion"/>
  </si>
  <si>
    <t xml:space="preserve">  〈 유의사항 〉</t>
    <phoneticPr fontId="5" type="noConversion"/>
  </si>
  <si>
    <t xml:space="preserve">    1. 견적 유효기간 : 견적일로부터 2주</t>
    <phoneticPr fontId="5" type="noConversion"/>
  </si>
  <si>
    <t xml:space="preserve">    2. 납품  및  설치 : 지정 장소 납품 </t>
    <phoneticPr fontId="5" type="noConversion"/>
  </si>
  <si>
    <t xml:space="preserve">    3. 대금결제 조건 : 현금 결제</t>
    <phoneticPr fontId="5" type="noConversion"/>
  </si>
  <si>
    <t xml:space="preserve">    4. 업무범위 및 협의내용에 따라 공수 및 금액은 변경 가능</t>
    <phoneticPr fontId="5" type="noConversion"/>
  </si>
  <si>
    <t xml:space="preserve">        이에 따른 시스템 및 장비, S/W라이센스는 필요시 별도 구매</t>
    <phoneticPr fontId="5" type="noConversion"/>
  </si>
  <si>
    <t xml:space="preserve">    5. 유상유지보수 : 무상유지보수 1년 후 계약금액의 12%(년)</t>
    <phoneticPr fontId="5" type="noConversion"/>
  </si>
  <si>
    <t xml:space="preserve">참   조  : </t>
    <phoneticPr fontId="5" type="noConversion"/>
  </si>
  <si>
    <t>6개월</t>
    <phoneticPr fontId="5" type="noConversion"/>
  </si>
  <si>
    <t>Test</t>
    <phoneticPr fontId="5" type="noConversion"/>
  </si>
  <si>
    <t>1개월</t>
    <phoneticPr fontId="5" type="noConversion"/>
  </si>
  <si>
    <t>8개월</t>
    <phoneticPr fontId="5" type="noConversion"/>
  </si>
  <si>
    <t>1. 본 기간은 현장 상황에 따라서 달라질 수 있습니다.
2. 검수완료 후 무상유지보수 1년 포함입니다.</t>
    <phoneticPr fontId="5" type="noConversion"/>
  </si>
  <si>
    <t>WMS 구축</t>
    <phoneticPr fontId="5" type="noConversion"/>
  </si>
  <si>
    <t>PDA</t>
    <phoneticPr fontId="1" type="noConversion"/>
  </si>
  <si>
    <t>인터페이스</t>
    <phoneticPr fontId="1" type="noConversion"/>
  </si>
  <si>
    <t>입고관리</t>
    <phoneticPr fontId="1" type="noConversion"/>
  </si>
  <si>
    <t>출고관리</t>
    <phoneticPr fontId="1" type="noConversion"/>
  </si>
  <si>
    <t>재고관리</t>
    <phoneticPr fontId="1" type="noConversion"/>
  </si>
  <si>
    <t>분석/설계</t>
    <phoneticPr fontId="1" type="noConversion"/>
  </si>
  <si>
    <t>개발/테스트</t>
    <phoneticPr fontId="1" type="noConversion"/>
  </si>
  <si>
    <t>M1</t>
    <phoneticPr fontId="1" type="noConversion"/>
  </si>
  <si>
    <t>초급</t>
    <phoneticPr fontId="1" type="noConversion"/>
  </si>
  <si>
    <t>D/C(35%) 후   소            계(만원이하절사)</t>
    <phoneticPr fontId="5" type="noConversion"/>
  </si>
  <si>
    <t>수  신 :   貴中</t>
    <phoneticPr fontId="5" type="noConversion"/>
  </si>
  <si>
    <t>중급</t>
    <phoneticPr fontId="1" type="noConversion"/>
  </si>
  <si>
    <t>인터페이스</t>
    <phoneticPr fontId="1" type="noConversion"/>
  </si>
  <si>
    <t>중급</t>
    <phoneticPr fontId="1" type="noConversion"/>
  </si>
  <si>
    <t>설계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</si>
</sst>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-* #,##0_-;\-* #,##0_-;_-* &quot;-&quot;_-;_-@_-"/>
    <numFmt numFmtId="176" formatCode="0.0_);[Red]\(0.0\)"/>
    <numFmt numFmtId="177" formatCode="&quot;①*&quot;#.#"/>
    <numFmt numFmtId="178" formatCode="&quot;(①+②)*&quot;#0.##"/>
    <numFmt numFmtId="179" formatCode="#,##0_ "/>
    <numFmt numFmtId="180" formatCode="0.00_ "/>
    <numFmt numFmtId="181" formatCode="#,##0_);[Red]\(#,##0\)"/>
    <numFmt numFmtId="182" formatCode="0_);[Red]\(0\)"/>
    <numFmt numFmtId="183" formatCode="0.0_ "/>
    <numFmt numFmtId="184" formatCode="General\ &quot;M/M&quot;"/>
    <numFmt numFmtId="185" formatCode="&quot;₩&quot;#,##0_);[Red]\(&quot;₩&quot;#,##0\)"/>
    <numFmt numFmtId="186" formatCode="General\ &quot;식&quot;"/>
    <numFmt numFmtId="187" formatCode="#,##0;[Red]#,##0"/>
    <numFmt numFmtId="188" formatCode="General\ &quot;BOX&quot;"/>
    <numFmt numFmtId="189" formatCode="yyyy&quot;年&quot;\ m&quot;月&quot;\ d&quot;日&quot;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8"/>
      <name val="바탕체"/>
      <family val="1"/>
      <charset val="129"/>
    </font>
    <font>
      <sz val="12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  <scheme val="minor"/>
    </font>
    <font>
      <sz val="16"/>
      <name val="맑은 고딕"/>
      <family val="3"/>
      <charset val="129"/>
      <scheme val="major"/>
    </font>
    <font>
      <sz val="12"/>
      <name val="바탕체"/>
      <family val="1"/>
      <charset val="129"/>
    </font>
    <font>
      <sz val="16"/>
      <name val="맑은 고딕"/>
      <family val="3"/>
      <charset val="129"/>
    </font>
    <font>
      <sz val="10"/>
      <name val="궁서체"/>
      <family val="1"/>
      <charset val="129"/>
    </font>
    <font>
      <b/>
      <sz val="18"/>
      <name val="맑은 고딕"/>
      <family val="3"/>
      <charset val="129"/>
    </font>
    <font>
      <sz val="10"/>
      <name val="Times New Roman"/>
      <family val="1"/>
    </font>
    <font>
      <sz val="10"/>
      <name val="맑은 고딕"/>
      <family val="3"/>
      <charset val="129"/>
    </font>
    <font>
      <b/>
      <u val="double"/>
      <sz val="53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20"/>
      <name val="맑은 고딕"/>
      <family val="3"/>
      <charset val="129"/>
      <scheme val="major"/>
    </font>
    <font>
      <b/>
      <sz val="20"/>
      <name val="맑은 고딕"/>
      <family val="3"/>
      <charset val="129"/>
    </font>
    <font>
      <sz val="12"/>
      <name val="궁서체"/>
      <family val="1"/>
      <charset val="129"/>
    </font>
    <font>
      <b/>
      <sz val="24"/>
      <name val="맑은 고딕"/>
      <family val="3"/>
      <charset val="129"/>
    </font>
    <font>
      <b/>
      <sz val="18"/>
      <name val="맑은 고딕"/>
      <family val="3"/>
      <charset val="129"/>
      <scheme val="major"/>
    </font>
    <font>
      <sz val="12"/>
      <name val="Century Schoolbook"/>
      <family val="1"/>
    </font>
    <font>
      <b/>
      <sz val="20"/>
      <name val="맑은 고딕"/>
      <family val="3"/>
      <charset val="129"/>
      <scheme val="major"/>
    </font>
    <font>
      <b/>
      <sz val="24"/>
      <name val="궁서체"/>
      <family val="1"/>
      <charset val="129"/>
    </font>
    <font>
      <b/>
      <sz val="24"/>
      <name val="맑은 고딕"/>
      <family val="3"/>
      <charset val="129"/>
      <scheme val="minor"/>
    </font>
    <font>
      <sz val="24"/>
      <name val="궁서체"/>
      <family val="1"/>
      <charset val="129"/>
    </font>
    <font>
      <b/>
      <u/>
      <sz val="24"/>
      <name val="맑은 고딕"/>
      <family val="3"/>
      <charset val="129"/>
      <scheme val="minor"/>
    </font>
    <font>
      <b/>
      <u/>
      <sz val="13"/>
      <name val="Tahoma"/>
      <family val="2"/>
    </font>
    <font>
      <b/>
      <sz val="22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b/>
      <sz val="16"/>
      <color rgb="FF000000"/>
      <name val="맑은 고딕"/>
      <family val="3"/>
      <charset val="129"/>
      <scheme val="major"/>
    </font>
    <font>
      <sz val="16"/>
      <name val="Times New Roman"/>
      <family val="1"/>
    </font>
    <font>
      <b/>
      <sz val="22"/>
      <name val="맑은 고딕"/>
      <family val="3"/>
      <charset val="129"/>
      <scheme val="major"/>
    </font>
    <font>
      <sz val="14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/>
  </cellStyleXfs>
  <cellXfs count="2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6" fillId="0" borderId="0" xfId="1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41" fontId="7" fillId="0" borderId="0" xfId="1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6" fillId="0" borderId="0" xfId="2" applyNumberFormat="1" applyFont="1" applyAlignment="1">
      <alignment horizontal="right" vertical="center"/>
    </xf>
    <xf numFmtId="0" fontId="7" fillId="6" borderId="5" xfId="4" applyFont="1" applyFill="1" applyBorder="1" applyAlignment="1" applyProtection="1">
      <alignment horizontal="center" vertical="center"/>
    </xf>
    <xf numFmtId="0" fontId="7" fillId="6" borderId="1" xfId="3" applyFont="1" applyFill="1" applyBorder="1" applyAlignment="1">
      <alignment horizontal="center" vertical="center"/>
    </xf>
    <xf numFmtId="177" fontId="7" fillId="6" borderId="6" xfId="4" applyNumberFormat="1" applyFont="1" applyFill="1" applyBorder="1" applyAlignment="1" applyProtection="1">
      <alignment horizontal="center" vertical="center" wrapText="1"/>
    </xf>
    <xf numFmtId="178" fontId="7" fillId="6" borderId="6" xfId="4" applyNumberFormat="1" applyFont="1" applyFill="1" applyBorder="1" applyAlignment="1" applyProtection="1">
      <alignment horizontal="center" vertical="center" wrapText="1"/>
    </xf>
    <xf numFmtId="0" fontId="7" fillId="6" borderId="6" xfId="4" applyFont="1" applyFill="1" applyBorder="1" applyAlignment="1" applyProtection="1">
      <alignment horizontal="center" vertical="center" wrapText="1"/>
    </xf>
    <xf numFmtId="41" fontId="6" fillId="0" borderId="0" xfId="1" applyFont="1" applyAlignment="1">
      <alignment horizontal="center" vertical="center"/>
    </xf>
    <xf numFmtId="0" fontId="6" fillId="0" borderId="1" xfId="3" applyFont="1" applyFill="1" applyBorder="1" applyAlignment="1">
      <alignment horizontal="center" vertical="center"/>
    </xf>
    <xf numFmtId="179" fontId="6" fillId="7" borderId="1" xfId="3" applyNumberFormat="1" applyFont="1" applyFill="1" applyBorder="1" applyAlignment="1">
      <alignment horizontal="right" vertical="center"/>
    </xf>
    <xf numFmtId="180" fontId="6" fillId="0" borderId="1" xfId="3" applyNumberFormat="1" applyFont="1" applyFill="1" applyBorder="1" applyAlignment="1">
      <alignment horizontal="right" vertical="center"/>
    </xf>
    <xf numFmtId="181" fontId="6" fillId="7" borderId="1" xfId="3" applyNumberFormat="1" applyFont="1" applyFill="1" applyBorder="1" applyAlignment="1">
      <alignment vertical="center"/>
    </xf>
    <xf numFmtId="181" fontId="6" fillId="0" borderId="6" xfId="4" applyNumberFormat="1" applyFont="1" applyFill="1" applyBorder="1" applyAlignment="1" applyProtection="1">
      <alignment vertical="center"/>
    </xf>
    <xf numFmtId="182" fontId="6" fillId="0" borderId="0" xfId="1" applyNumberFormat="1" applyFont="1" applyAlignment="1">
      <alignment vertical="center"/>
    </xf>
    <xf numFmtId="182" fontId="6" fillId="0" borderId="0" xfId="2" applyNumberFormat="1" applyFont="1" applyAlignment="1">
      <alignment vertical="center"/>
    </xf>
    <xf numFmtId="181" fontId="6" fillId="0" borderId="1" xfId="3" applyNumberFormat="1" applyFont="1" applyBorder="1" applyAlignment="1">
      <alignment horizontal="center" vertical="center"/>
    </xf>
    <xf numFmtId="181" fontId="6" fillId="0" borderId="1" xfId="3" applyNumberFormat="1" applyFont="1" applyBorder="1" applyAlignment="1">
      <alignment vertical="center"/>
    </xf>
    <xf numFmtId="0" fontId="6" fillId="0" borderId="0" xfId="2" applyFont="1" applyAlignment="1">
      <alignment horizontal="left" vertical="center" wrapText="1"/>
    </xf>
    <xf numFmtId="181" fontId="6" fillId="0" borderId="0" xfId="2" applyNumberFormat="1" applyFont="1" applyAlignment="1">
      <alignment vertical="center"/>
    </xf>
    <xf numFmtId="179" fontId="0" fillId="0" borderId="1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0" fillId="4" borderId="1" xfId="0" applyNumberForma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4" xfId="0" applyBorder="1">
      <alignment vertical="center"/>
    </xf>
    <xf numFmtId="183" fontId="0" fillId="0" borderId="1" xfId="0" applyNumberFormat="1" applyBorder="1">
      <alignment vertical="center"/>
    </xf>
    <xf numFmtId="176" fontId="0" fillId="4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179" fontId="0" fillId="0" borderId="1" xfId="0" applyNumberFormat="1" applyFill="1" applyBorder="1">
      <alignment vertical="center"/>
    </xf>
    <xf numFmtId="179" fontId="0" fillId="0" borderId="0" xfId="0" applyNumberForma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8" borderId="15" xfId="0" applyFont="1" applyFill="1" applyBorder="1" applyAlignment="1">
      <alignment horizontal="left" vertical="center" wrapText="1" readingOrder="1"/>
    </xf>
    <xf numFmtId="0" fontId="9" fillId="8" borderId="16" xfId="0" applyFont="1" applyFill="1" applyBorder="1" applyAlignment="1">
      <alignment horizontal="left" vertical="center" wrapText="1" readingOrder="1"/>
    </xf>
    <xf numFmtId="0" fontId="14" fillId="0" borderId="0" xfId="5" applyFont="1" applyAlignment="1">
      <alignment vertical="center"/>
    </xf>
    <xf numFmtId="0" fontId="19" fillId="0" borderId="0" xfId="5" applyFont="1" applyAlignment="1">
      <alignment vertical="top"/>
    </xf>
    <xf numFmtId="0" fontId="21" fillId="0" borderId="0" xfId="5" applyFont="1" applyAlignment="1">
      <alignment horizontal="right" vertical="center"/>
    </xf>
    <xf numFmtId="0" fontId="22" fillId="0" borderId="0" xfId="5" applyFont="1" applyAlignment="1">
      <alignment vertical="center"/>
    </xf>
    <xf numFmtId="0" fontId="24" fillId="0" borderId="0" xfId="5" applyFont="1" applyAlignment="1">
      <alignment vertical="center"/>
    </xf>
    <xf numFmtId="0" fontId="25" fillId="0" borderId="0" xfId="5" applyFont="1" applyAlignment="1">
      <alignment horizontal="left" vertical="center"/>
    </xf>
    <xf numFmtId="0" fontId="26" fillId="0" borderId="0" xfId="5" applyFont="1" applyAlignment="1">
      <alignment vertical="center"/>
    </xf>
    <xf numFmtId="0" fontId="27" fillId="0" borderId="0" xfId="5" applyFont="1" applyAlignment="1">
      <alignment vertical="center"/>
    </xf>
    <xf numFmtId="0" fontId="27" fillId="0" borderId="0" xfId="5" applyFont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28" fillId="0" borderId="0" xfId="5" applyFont="1" applyAlignment="1">
      <alignment horizontal="left" vertical="center"/>
    </xf>
    <xf numFmtId="0" fontId="29" fillId="0" borderId="0" xfId="5" applyFont="1" applyAlignment="1">
      <alignment vertical="center"/>
    </xf>
    <xf numFmtId="0" fontId="31" fillId="0" borderId="0" xfId="5" applyNumberFormat="1" applyFont="1" applyAlignment="1">
      <alignment vertical="center"/>
    </xf>
    <xf numFmtId="0" fontId="16" fillId="0" borderId="0" xfId="5" applyFont="1" applyAlignment="1">
      <alignment vertical="center"/>
    </xf>
    <xf numFmtId="0" fontId="33" fillId="9" borderId="35" xfId="5" applyFont="1" applyFill="1" applyBorder="1" applyAlignment="1">
      <alignment horizontal="center" vertical="center"/>
    </xf>
    <xf numFmtId="0" fontId="33" fillId="9" borderId="1" xfId="5" applyFont="1" applyFill="1" applyBorder="1" applyAlignment="1">
      <alignment horizontal="center" vertical="center"/>
    </xf>
    <xf numFmtId="0" fontId="36" fillId="0" borderId="0" xfId="5" applyFont="1" applyAlignment="1">
      <alignment vertical="center"/>
    </xf>
    <xf numFmtId="0" fontId="34" fillId="9" borderId="5" xfId="5" applyFont="1" applyFill="1" applyBorder="1" applyAlignment="1">
      <alignment horizontal="center" vertical="center"/>
    </xf>
    <xf numFmtId="0" fontId="34" fillId="9" borderId="48" xfId="5" applyFont="1" applyFill="1" applyBorder="1" applyAlignment="1">
      <alignment horizontal="center" vertical="center"/>
    </xf>
    <xf numFmtId="0" fontId="33" fillId="0" borderId="1" xfId="5" applyFont="1" applyBorder="1" applyAlignment="1">
      <alignment horizontal="left" vertical="center" wrapText="1"/>
    </xf>
    <xf numFmtId="0" fontId="10" fillId="0" borderId="1" xfId="5" quotePrefix="1" applyFont="1" applyBorder="1" applyAlignment="1">
      <alignment horizontal="left" vertical="center" wrapText="1"/>
    </xf>
    <xf numFmtId="0" fontId="33" fillId="0" borderId="1" xfId="5" quotePrefix="1" applyFont="1" applyBorder="1" applyAlignment="1">
      <alignment horizontal="left" vertical="center" wrapText="1"/>
    </xf>
    <xf numFmtId="0" fontId="10" fillId="0" borderId="25" xfId="5" applyFont="1" applyBorder="1" applyAlignment="1">
      <alignment horizontal="left" vertical="center" wrapText="1"/>
    </xf>
    <xf numFmtId="0" fontId="10" fillId="0" borderId="6" xfId="5" applyFont="1" applyBorder="1" applyAlignment="1">
      <alignment horizontal="center" vertical="center" wrapText="1"/>
    </xf>
    <xf numFmtId="0" fontId="11" fillId="0" borderId="6" xfId="5" applyFont="1" applyFill="1" applyBorder="1" applyAlignment="1">
      <alignment horizontal="center" vertical="center" wrapText="1"/>
    </xf>
    <xf numFmtId="181" fontId="11" fillId="0" borderId="6" xfId="6" applyNumberFormat="1" applyFont="1" applyFill="1" applyBorder="1" applyAlignment="1">
      <alignment horizontal="center" vertical="center"/>
    </xf>
    <xf numFmtId="41" fontId="11" fillId="0" borderId="20" xfId="5" applyNumberFormat="1" applyFont="1" applyFill="1" applyBorder="1" applyAlignment="1">
      <alignment horizontal="center" vertical="center"/>
    </xf>
    <xf numFmtId="0" fontId="11" fillId="2" borderId="1" xfId="5" applyFont="1" applyFill="1" applyBorder="1" applyAlignment="1">
      <alignment horizontal="center" vertical="center"/>
    </xf>
    <xf numFmtId="0" fontId="11" fillId="2" borderId="6" xfId="5" applyFont="1" applyFill="1" applyBorder="1" applyAlignment="1">
      <alignment horizontal="left" vertical="center"/>
    </xf>
    <xf numFmtId="184" fontId="11" fillId="2" borderId="6" xfId="5" applyNumberFormat="1" applyFont="1" applyFill="1" applyBorder="1" applyAlignment="1">
      <alignment horizontal="center" vertical="center"/>
    </xf>
    <xf numFmtId="41" fontId="11" fillId="2" borderId="6" xfId="6" applyFont="1" applyFill="1" applyBorder="1" applyAlignment="1">
      <alignment vertical="center"/>
    </xf>
    <xf numFmtId="41" fontId="11" fillId="2" borderId="20" xfId="6" applyFont="1" applyFill="1" applyBorder="1" applyAlignment="1">
      <alignment vertical="center"/>
    </xf>
    <xf numFmtId="0" fontId="11" fillId="2" borderId="6" xfId="5" applyFont="1" applyFill="1" applyBorder="1" applyAlignment="1">
      <alignment horizontal="center" vertical="center"/>
    </xf>
    <xf numFmtId="0" fontId="11" fillId="2" borderId="1" xfId="5" applyFont="1" applyFill="1" applyBorder="1" applyAlignment="1">
      <alignment horizontal="left" vertical="center"/>
    </xf>
    <xf numFmtId="41" fontId="11" fillId="2" borderId="1" xfId="6" applyFont="1" applyFill="1" applyBorder="1" applyAlignment="1">
      <alignment vertical="center"/>
    </xf>
    <xf numFmtId="0" fontId="11" fillId="2" borderId="25" xfId="5" applyFont="1" applyFill="1" applyBorder="1" applyAlignment="1">
      <alignment horizontal="center" vertical="center"/>
    </xf>
    <xf numFmtId="0" fontId="11" fillId="2" borderId="25" xfId="5" applyFont="1" applyFill="1" applyBorder="1" applyAlignment="1">
      <alignment horizontal="left" vertical="center"/>
    </xf>
    <xf numFmtId="41" fontId="11" fillId="2" borderId="25" xfId="6" applyFont="1" applyFill="1" applyBorder="1" applyAlignment="1">
      <alignment vertical="center"/>
    </xf>
    <xf numFmtId="184" fontId="11" fillId="0" borderId="29" xfId="5" applyNumberFormat="1" applyFont="1" applyBorder="1" applyAlignment="1">
      <alignment horizontal="center" vertical="center"/>
    </xf>
    <xf numFmtId="0" fontId="11" fillId="2" borderId="51" xfId="5" applyFont="1" applyFill="1" applyBorder="1" applyAlignment="1">
      <alignment horizontal="center" vertical="center"/>
    </xf>
    <xf numFmtId="185" fontId="16" fillId="0" borderId="0" xfId="5" applyNumberFormat="1" applyFont="1" applyAlignment="1">
      <alignment vertical="center"/>
    </xf>
    <xf numFmtId="0" fontId="13" fillId="0" borderId="52" xfId="5" applyFont="1" applyBorder="1" applyAlignment="1">
      <alignment horizontal="center" vertical="center"/>
    </xf>
    <xf numFmtId="0" fontId="13" fillId="0" borderId="35" xfId="5" applyFont="1" applyBorder="1" applyAlignment="1">
      <alignment horizontal="center" vertical="center"/>
    </xf>
    <xf numFmtId="0" fontId="13" fillId="0" borderId="53" xfId="5" applyFont="1" applyBorder="1" applyAlignment="1">
      <alignment horizontal="center" vertical="center"/>
    </xf>
    <xf numFmtId="0" fontId="41" fillId="0" borderId="1" xfId="5" applyFont="1" applyBorder="1" applyAlignment="1">
      <alignment horizontal="left" vertical="center"/>
    </xf>
    <xf numFmtId="0" fontId="38" fillId="0" borderId="1" xfId="5" applyFont="1" applyBorder="1" applyAlignment="1">
      <alignment horizontal="left" vertical="center"/>
    </xf>
    <xf numFmtId="0" fontId="38" fillId="0" borderId="6" xfId="5" applyFont="1" applyBorder="1" applyAlignment="1">
      <alignment horizontal="left" vertical="center"/>
    </xf>
    <xf numFmtId="41" fontId="13" fillId="0" borderId="7" xfId="6" applyFont="1" applyBorder="1" applyAlignment="1">
      <alignment horizontal="center" vertical="center"/>
    </xf>
    <xf numFmtId="41" fontId="13" fillId="0" borderId="58" xfId="6" applyFont="1" applyBorder="1" applyAlignment="1">
      <alignment horizontal="right" vertical="center"/>
    </xf>
    <xf numFmtId="0" fontId="11" fillId="2" borderId="51" xfId="5" applyFont="1" applyFill="1" applyBorder="1" applyAlignment="1">
      <alignment horizontal="center" vertical="center" wrapText="1"/>
    </xf>
    <xf numFmtId="0" fontId="13" fillId="0" borderId="18" xfId="5" applyFont="1" applyBorder="1" applyAlignment="1">
      <alignment horizontal="left" vertical="center"/>
    </xf>
    <xf numFmtId="41" fontId="13" fillId="0" borderId="35" xfId="6" applyFont="1" applyBorder="1" applyAlignment="1">
      <alignment horizontal="center" vertical="center"/>
    </xf>
    <xf numFmtId="41" fontId="13" fillId="0" borderId="35" xfId="6" applyFont="1" applyBorder="1" applyAlignment="1">
      <alignment horizontal="right" vertical="center"/>
    </xf>
    <xf numFmtId="41" fontId="13" fillId="0" borderId="55" xfId="6" applyFont="1" applyBorder="1" applyAlignment="1">
      <alignment horizontal="right" vertical="center"/>
    </xf>
    <xf numFmtId="0" fontId="13" fillId="0" borderId="4" xfId="5" applyFont="1" applyBorder="1" applyAlignment="1">
      <alignment horizontal="left" vertical="center"/>
    </xf>
    <xf numFmtId="41" fontId="13" fillId="0" borderId="1" xfId="6" applyFont="1" applyBorder="1" applyAlignment="1">
      <alignment horizontal="center" vertical="center"/>
    </xf>
    <xf numFmtId="41" fontId="13" fillId="0" borderId="1" xfId="6" applyFont="1" applyBorder="1" applyAlignment="1">
      <alignment horizontal="right" vertical="center"/>
    </xf>
    <xf numFmtId="41" fontId="13" fillId="0" borderId="62" xfId="6" applyFont="1" applyBorder="1" applyAlignment="1">
      <alignment horizontal="right" vertical="center"/>
    </xf>
    <xf numFmtId="0" fontId="13" fillId="0" borderId="24" xfId="5" applyFont="1" applyBorder="1" applyAlignment="1">
      <alignment horizontal="left" vertical="center"/>
    </xf>
    <xf numFmtId="188" fontId="13" fillId="0" borderId="25" xfId="6" applyNumberFormat="1" applyFont="1" applyBorder="1" applyAlignment="1">
      <alignment horizontal="center" vertical="center"/>
    </xf>
    <xf numFmtId="41" fontId="13" fillId="0" borderId="25" xfId="6" applyFont="1" applyBorder="1" applyAlignment="1">
      <alignment horizontal="right" vertical="center"/>
    </xf>
    <xf numFmtId="41" fontId="13" fillId="0" borderId="45" xfId="6" applyFont="1" applyBorder="1" applyAlignment="1">
      <alignment horizontal="right" vertical="center"/>
    </xf>
    <xf numFmtId="0" fontId="17" fillId="0" borderId="0" xfId="5" applyFont="1" applyBorder="1" applyAlignment="1">
      <alignment horizontal="center" vertical="center"/>
    </xf>
    <xf numFmtId="0" fontId="17" fillId="0" borderId="0" xfId="5" applyFont="1" applyBorder="1" applyAlignment="1">
      <alignment vertical="center"/>
    </xf>
    <xf numFmtId="187" fontId="17" fillId="0" borderId="0" xfId="6" applyNumberFormat="1" applyFont="1" applyBorder="1" applyAlignment="1">
      <alignment horizontal="right" vertical="center"/>
    </xf>
    <xf numFmtId="0" fontId="11" fillId="0" borderId="0" xfId="5" applyFont="1" applyAlignment="1">
      <alignment horizontal="left" vertical="center"/>
    </xf>
    <xf numFmtId="0" fontId="39" fillId="0" borderId="0" xfId="5" applyFont="1" applyAlignment="1">
      <alignment vertical="center"/>
    </xf>
    <xf numFmtId="0" fontId="40" fillId="0" borderId="0" xfId="5" applyFont="1" applyAlignment="1">
      <alignment vertical="center"/>
    </xf>
    <xf numFmtId="0" fontId="17" fillId="0" borderId="0" xfId="5" applyFont="1" applyAlignment="1">
      <alignment vertical="center"/>
    </xf>
    <xf numFmtId="0" fontId="30" fillId="0" borderId="0" xfId="5" applyFont="1" applyAlignment="1">
      <alignment horizontal="left" vertical="center"/>
    </xf>
    <xf numFmtId="0" fontId="18" fillId="0" borderId="0" xfId="5" applyFont="1" applyAlignment="1">
      <alignment horizontal="center" vertical="center"/>
    </xf>
    <xf numFmtId="0" fontId="20" fillId="0" borderId="0" xfId="5" applyFont="1" applyAlignment="1">
      <alignment horizontal="left" vertical="top"/>
    </xf>
    <xf numFmtId="189" fontId="21" fillId="0" borderId="0" xfId="5" applyNumberFormat="1" applyFont="1" applyAlignment="1">
      <alignment horizontal="left" vertical="center"/>
    </xf>
    <xf numFmtId="0" fontId="23" fillId="0" borderId="0" xfId="5" applyFont="1" applyAlignment="1">
      <alignment horizontal="left" vertical="center"/>
    </xf>
    <xf numFmtId="0" fontId="28" fillId="0" borderId="0" xfId="5" applyFont="1" applyAlignment="1">
      <alignment horizontal="left" vertical="center"/>
    </xf>
    <xf numFmtId="0" fontId="15" fillId="0" borderId="0" xfId="5" applyFont="1" applyBorder="1" applyAlignment="1">
      <alignment horizontal="right" vertical="center"/>
    </xf>
    <xf numFmtId="0" fontId="32" fillId="2" borderId="34" xfId="5" applyFont="1" applyFill="1" applyBorder="1" applyAlignment="1">
      <alignment horizontal="center" vertical="center"/>
    </xf>
    <xf numFmtId="0" fontId="32" fillId="2" borderId="39" xfId="5" applyFont="1" applyFill="1" applyBorder="1" applyAlignment="1">
      <alignment horizontal="center" vertical="center"/>
    </xf>
    <xf numFmtId="0" fontId="32" fillId="2" borderId="42" xfId="5" applyFont="1" applyFill="1" applyBorder="1" applyAlignment="1">
      <alignment horizontal="center" vertical="center"/>
    </xf>
    <xf numFmtId="0" fontId="33" fillId="9" borderId="35" xfId="5" applyFont="1" applyFill="1" applyBorder="1" applyAlignment="1">
      <alignment horizontal="center" vertical="center"/>
    </xf>
    <xf numFmtId="0" fontId="33" fillId="9" borderId="36" xfId="5" applyFont="1" applyFill="1" applyBorder="1" applyAlignment="1">
      <alignment horizontal="center" vertical="center"/>
    </xf>
    <xf numFmtId="0" fontId="33" fillId="9" borderId="37" xfId="5" applyFont="1" applyFill="1" applyBorder="1" applyAlignment="1">
      <alignment horizontal="center" vertical="center"/>
    </xf>
    <xf numFmtId="0" fontId="33" fillId="9" borderId="38" xfId="5" applyFont="1" applyFill="1" applyBorder="1" applyAlignment="1">
      <alignment horizontal="center" vertical="center"/>
    </xf>
    <xf numFmtId="0" fontId="33" fillId="9" borderId="13" xfId="5" applyFont="1" applyFill="1" applyBorder="1" applyAlignment="1">
      <alignment horizontal="center" vertical="center"/>
    </xf>
    <xf numFmtId="0" fontId="33" fillId="9" borderId="0" xfId="5" applyFont="1" applyFill="1" applyBorder="1" applyAlignment="1">
      <alignment horizontal="center" vertical="center"/>
    </xf>
    <xf numFmtId="0" fontId="33" fillId="9" borderId="40" xfId="5" applyFont="1" applyFill="1" applyBorder="1" applyAlignment="1">
      <alignment horizontal="center" vertical="center"/>
    </xf>
    <xf numFmtId="0" fontId="33" fillId="9" borderId="8" xfId="5" applyFont="1" applyFill="1" applyBorder="1" applyAlignment="1">
      <alignment horizontal="center" vertical="center"/>
    </xf>
    <xf numFmtId="0" fontId="33" fillId="9" borderId="9" xfId="5" applyFont="1" applyFill="1" applyBorder="1" applyAlignment="1">
      <alignment horizontal="center" vertical="center"/>
    </xf>
    <xf numFmtId="0" fontId="33" fillId="9" borderId="41" xfId="5" applyFont="1" applyFill="1" applyBorder="1" applyAlignment="1">
      <alignment horizontal="center" vertical="center"/>
    </xf>
    <xf numFmtId="0" fontId="33" fillId="9" borderId="1" xfId="5" applyFont="1" applyFill="1" applyBorder="1" applyAlignment="1">
      <alignment horizontal="center" vertical="center"/>
    </xf>
    <xf numFmtId="0" fontId="33" fillId="9" borderId="43" xfId="5" applyFont="1" applyFill="1" applyBorder="1" applyAlignment="1">
      <alignment horizontal="center" vertical="center"/>
    </xf>
    <xf numFmtId="0" fontId="33" fillId="9" borderId="24" xfId="5" applyFont="1" applyFill="1" applyBorder="1" applyAlignment="1">
      <alignment horizontal="center" vertical="center"/>
    </xf>
    <xf numFmtId="0" fontId="33" fillId="9" borderId="43" xfId="5" applyFont="1" applyFill="1" applyBorder="1" applyAlignment="1">
      <alignment horizontal="left" vertical="center" wrapText="1"/>
    </xf>
    <xf numFmtId="0" fontId="33" fillId="9" borderId="44" xfId="5" applyFont="1" applyFill="1" applyBorder="1" applyAlignment="1">
      <alignment horizontal="left" vertical="center"/>
    </xf>
    <xf numFmtId="0" fontId="33" fillId="9" borderId="45" xfId="5" applyFont="1" applyFill="1" applyBorder="1" applyAlignment="1">
      <alignment horizontal="left" vertical="center"/>
    </xf>
    <xf numFmtId="0" fontId="10" fillId="0" borderId="49" xfId="5" applyFont="1" applyFill="1" applyBorder="1" applyAlignment="1">
      <alignment horizontal="center" vertical="center" wrapText="1"/>
    </xf>
    <xf numFmtId="0" fontId="10" fillId="0" borderId="50" xfId="5" applyFont="1" applyFill="1" applyBorder="1" applyAlignment="1">
      <alignment horizontal="center" vertical="center" wrapText="1"/>
    </xf>
    <xf numFmtId="0" fontId="10" fillId="0" borderId="1" xfId="5" applyFont="1" applyBorder="1" applyAlignment="1">
      <alignment horizontal="center" vertical="center" wrapText="1"/>
    </xf>
    <xf numFmtId="0" fontId="10" fillId="0" borderId="25" xfId="5" applyFont="1" applyBorder="1" applyAlignment="1">
      <alignment horizontal="center" vertical="center" wrapText="1"/>
    </xf>
    <xf numFmtId="186" fontId="11" fillId="0" borderId="5" xfId="5" applyNumberFormat="1" applyFont="1" applyFill="1" applyBorder="1" applyAlignment="1">
      <alignment horizontal="center" vertical="center" wrapText="1"/>
    </xf>
    <xf numFmtId="186" fontId="11" fillId="0" borderId="7" xfId="5" applyNumberFormat="1" applyFont="1" applyFill="1" applyBorder="1" applyAlignment="1">
      <alignment horizontal="center" vertical="center" wrapText="1"/>
    </xf>
    <xf numFmtId="186" fontId="11" fillId="0" borderId="59" xfId="5" applyNumberFormat="1" applyFont="1" applyFill="1" applyBorder="1" applyAlignment="1">
      <alignment horizontal="center" vertical="center" wrapText="1"/>
    </xf>
    <xf numFmtId="41" fontId="11" fillId="0" borderId="5" xfId="6" applyFont="1" applyFill="1" applyBorder="1" applyAlignment="1">
      <alignment horizontal="right" vertical="center"/>
    </xf>
    <xf numFmtId="41" fontId="11" fillId="0" borderId="7" xfId="6" applyFont="1" applyFill="1" applyBorder="1" applyAlignment="1">
      <alignment horizontal="right" vertical="center"/>
    </xf>
    <xf numFmtId="41" fontId="11" fillId="0" borderId="59" xfId="6" applyFont="1" applyFill="1" applyBorder="1" applyAlignment="1">
      <alignment horizontal="right" vertical="center"/>
    </xf>
    <xf numFmtId="41" fontId="11" fillId="0" borderId="48" xfId="5" applyNumberFormat="1" applyFont="1" applyFill="1" applyBorder="1" applyAlignment="1">
      <alignment horizontal="center" vertical="center"/>
    </xf>
    <xf numFmtId="41" fontId="11" fillId="0" borderId="58" xfId="5" applyNumberFormat="1" applyFont="1" applyFill="1" applyBorder="1" applyAlignment="1">
      <alignment horizontal="center" vertical="center"/>
    </xf>
    <xf numFmtId="41" fontId="11" fillId="0" borderId="60" xfId="5" applyNumberFormat="1" applyFont="1" applyFill="1" applyBorder="1" applyAlignment="1">
      <alignment horizontal="center" vertical="center"/>
    </xf>
    <xf numFmtId="0" fontId="34" fillId="9" borderId="46" xfId="5" applyFont="1" applyFill="1" applyBorder="1" applyAlignment="1">
      <alignment horizontal="center" vertical="center"/>
    </xf>
    <xf numFmtId="0" fontId="34" fillId="9" borderId="47" xfId="5" applyFont="1" applyFill="1" applyBorder="1" applyAlignment="1">
      <alignment horizontal="center" vertical="center"/>
    </xf>
    <xf numFmtId="0" fontId="35" fillId="9" borderId="13" xfId="5" applyFont="1" applyFill="1" applyBorder="1" applyAlignment="1">
      <alignment horizontal="center" vertical="center" wrapText="1"/>
    </xf>
    <xf numFmtId="0" fontId="35" fillId="9" borderId="14" xfId="5" applyFont="1" applyFill="1" applyBorder="1" applyAlignment="1">
      <alignment horizontal="center" vertical="center" wrapText="1"/>
    </xf>
    <xf numFmtId="0" fontId="35" fillId="9" borderId="6" xfId="5" applyFont="1" applyFill="1" applyBorder="1" applyAlignment="1">
      <alignment horizontal="center" vertical="center" wrapText="1"/>
    </xf>
    <xf numFmtId="0" fontId="35" fillId="9" borderId="5" xfId="5" applyFont="1" applyFill="1" applyBorder="1" applyAlignment="1">
      <alignment horizontal="center" vertical="center" wrapText="1"/>
    </xf>
    <xf numFmtId="0" fontId="34" fillId="9" borderId="6" xfId="5" applyFont="1" applyFill="1" applyBorder="1" applyAlignment="1">
      <alignment horizontal="center" vertical="center"/>
    </xf>
    <xf numFmtId="0" fontId="34" fillId="9" borderId="5" xfId="5" applyFont="1" applyFill="1" applyBorder="1" applyAlignment="1">
      <alignment horizontal="center" vertical="center"/>
    </xf>
    <xf numFmtId="0" fontId="34" fillId="9" borderId="20" xfId="5" applyFont="1" applyFill="1" applyBorder="1" applyAlignment="1">
      <alignment horizontal="center" vertical="center"/>
    </xf>
    <xf numFmtId="0" fontId="10" fillId="0" borderId="17" xfId="5" applyFont="1" applyBorder="1" applyAlignment="1">
      <alignment horizontal="center" vertical="center" wrapText="1"/>
    </xf>
    <xf numFmtId="0" fontId="10" fillId="0" borderId="19" xfId="5" applyFont="1" applyBorder="1" applyAlignment="1">
      <alignment horizontal="center" vertical="center" wrapText="1"/>
    </xf>
    <xf numFmtId="0" fontId="10" fillId="0" borderId="18" xfId="5" applyFont="1" applyBorder="1" applyAlignment="1">
      <alignment horizontal="center" vertical="center" wrapText="1"/>
    </xf>
    <xf numFmtId="0" fontId="11" fillId="2" borderId="21" xfId="5" applyFont="1" applyFill="1" applyBorder="1" applyAlignment="1">
      <alignment horizontal="center" vertical="center" wrapText="1"/>
    </xf>
    <xf numFmtId="0" fontId="11" fillId="2" borderId="33" xfId="5" applyFont="1" applyFill="1" applyBorder="1" applyAlignment="1">
      <alignment horizontal="center" vertical="center" wrapText="1"/>
    </xf>
    <xf numFmtId="0" fontId="11" fillId="2" borderId="22" xfId="5" applyFont="1" applyFill="1" applyBorder="1" applyAlignment="1">
      <alignment horizontal="center" vertical="center" wrapText="1"/>
    </xf>
    <xf numFmtId="0" fontId="11" fillId="2" borderId="0" xfId="5" applyFont="1" applyFill="1" applyBorder="1" applyAlignment="1">
      <alignment horizontal="center" vertical="center" wrapText="1"/>
    </xf>
    <xf numFmtId="0" fontId="11" fillId="2" borderId="23" xfId="5" applyFont="1" applyFill="1" applyBorder="1" applyAlignment="1">
      <alignment horizontal="center" vertical="center" wrapText="1"/>
    </xf>
    <xf numFmtId="0" fontId="11" fillId="2" borderId="32" xfId="5" applyFont="1" applyFill="1" applyBorder="1" applyAlignment="1">
      <alignment horizontal="center" vertical="center" wrapText="1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41" fontId="11" fillId="0" borderId="30" xfId="6" applyFont="1" applyBorder="1" applyAlignment="1">
      <alignment horizontal="right" vertical="center"/>
    </xf>
    <xf numFmtId="41" fontId="11" fillId="0" borderId="31" xfId="6" applyFont="1" applyBorder="1" applyAlignment="1">
      <alignment horizontal="right" vertical="center"/>
    </xf>
    <xf numFmtId="0" fontId="11" fillId="2" borderId="27" xfId="5" applyFont="1" applyFill="1" applyBorder="1" applyAlignment="1">
      <alignment horizontal="center" vertical="center"/>
    </xf>
    <xf numFmtId="0" fontId="11" fillId="2" borderId="28" xfId="5" applyFont="1" applyFill="1" applyBorder="1" applyAlignment="1">
      <alignment horizontal="center" vertical="center"/>
    </xf>
    <xf numFmtId="41" fontId="11" fillId="2" borderId="36" xfId="6" applyFont="1" applyFill="1" applyBorder="1" applyAlignment="1">
      <alignment horizontal="right" vertical="center"/>
    </xf>
    <xf numFmtId="41" fontId="11" fillId="2" borderId="37" xfId="6" applyFont="1" applyFill="1" applyBorder="1" applyAlignment="1">
      <alignment horizontal="right" vertical="center"/>
    </xf>
    <xf numFmtId="41" fontId="11" fillId="2" borderId="38" xfId="6" applyFont="1" applyFill="1" applyBorder="1" applyAlignment="1">
      <alignment horizontal="right" vertical="center"/>
    </xf>
    <xf numFmtId="41" fontId="13" fillId="0" borderId="48" xfId="6" applyFont="1" applyBorder="1" applyAlignment="1">
      <alignment horizontal="right" vertical="center"/>
    </xf>
    <xf numFmtId="41" fontId="13" fillId="0" borderId="20" xfId="6" applyFont="1" applyBorder="1" applyAlignment="1">
      <alignment horizontal="right" vertical="center"/>
    </xf>
    <xf numFmtId="0" fontId="13" fillId="0" borderId="12" xfId="5" applyFont="1" applyBorder="1" applyAlignment="1">
      <alignment horizontal="center" vertical="center"/>
    </xf>
    <xf numFmtId="0" fontId="13" fillId="0" borderId="11" xfId="5" applyFont="1" applyBorder="1" applyAlignment="1">
      <alignment horizontal="center" vertical="center"/>
    </xf>
    <xf numFmtId="0" fontId="13" fillId="0" borderId="8" xfId="5" applyFont="1" applyBorder="1" applyAlignment="1">
      <alignment horizontal="center" vertical="center"/>
    </xf>
    <xf numFmtId="0" fontId="13" fillId="0" borderId="10" xfId="5" applyFont="1" applyBorder="1" applyAlignment="1">
      <alignment horizontal="center" vertical="center"/>
    </xf>
    <xf numFmtId="0" fontId="13" fillId="0" borderId="35" xfId="5" applyFont="1" applyBorder="1" applyAlignment="1">
      <alignment horizontal="center" vertical="center"/>
    </xf>
    <xf numFmtId="0" fontId="13" fillId="0" borderId="47" xfId="5" applyFont="1" applyBorder="1" applyAlignment="1">
      <alignment horizontal="center" vertical="center" wrapText="1"/>
    </xf>
    <xf numFmtId="0" fontId="13" fillId="0" borderId="39" xfId="5" applyFont="1" applyBorder="1" applyAlignment="1">
      <alignment horizontal="center" vertical="center" wrapText="1"/>
    </xf>
    <xf numFmtId="41" fontId="13" fillId="0" borderId="5" xfId="6" applyFont="1" applyBorder="1" applyAlignment="1">
      <alignment horizontal="center" vertical="center"/>
    </xf>
    <xf numFmtId="41" fontId="13" fillId="0" borderId="6" xfId="6" applyFont="1" applyBorder="1" applyAlignment="1">
      <alignment horizontal="center" vertical="center"/>
    </xf>
    <xf numFmtId="41" fontId="13" fillId="0" borderId="5" xfId="6" applyFont="1" applyBorder="1" applyAlignment="1">
      <alignment horizontal="right" vertical="center"/>
    </xf>
    <xf numFmtId="41" fontId="13" fillId="0" borderId="6" xfId="6" applyFont="1" applyBorder="1" applyAlignment="1">
      <alignment horizontal="right" vertical="center"/>
    </xf>
    <xf numFmtId="0" fontId="13" fillId="0" borderId="1" xfId="5" applyFont="1" applyBorder="1" applyAlignment="1">
      <alignment horizontal="center" vertical="center"/>
    </xf>
    <xf numFmtId="41" fontId="13" fillId="0" borderId="1" xfId="6" applyFont="1" applyBorder="1" applyAlignment="1">
      <alignment horizontal="center" vertical="center"/>
    </xf>
    <xf numFmtId="41" fontId="13" fillId="0" borderId="1" xfId="6" applyFont="1" applyBorder="1" applyAlignment="1">
      <alignment horizontal="right" vertical="center"/>
    </xf>
    <xf numFmtId="0" fontId="34" fillId="0" borderId="0" xfId="5" applyFont="1" applyAlignment="1">
      <alignment horizontal="left" vertical="center"/>
    </xf>
    <xf numFmtId="0" fontId="13" fillId="0" borderId="13" xfId="5" applyFont="1" applyBorder="1" applyAlignment="1">
      <alignment horizontal="center" vertical="center"/>
    </xf>
    <xf numFmtId="0" fontId="13" fillId="0" borderId="14" xfId="5" applyFont="1" applyBorder="1" applyAlignment="1">
      <alignment horizontal="center" vertical="center"/>
    </xf>
    <xf numFmtId="0" fontId="11" fillId="2" borderId="27" xfId="5" applyFont="1" applyFill="1" applyBorder="1" applyAlignment="1">
      <alignment horizontal="center" vertical="center" wrapText="1"/>
    </xf>
    <xf numFmtId="0" fontId="11" fillId="2" borderId="28" xfId="5" applyFont="1" applyFill="1" applyBorder="1" applyAlignment="1">
      <alignment horizontal="center" vertical="center" wrapText="1"/>
    </xf>
    <xf numFmtId="41" fontId="11" fillId="2" borderId="30" xfId="6" applyFont="1" applyFill="1" applyBorder="1" applyAlignment="1">
      <alignment horizontal="right" vertical="center"/>
    </xf>
    <xf numFmtId="41" fontId="11" fillId="2" borderId="27" xfId="6" applyFont="1" applyFill="1" applyBorder="1" applyAlignment="1">
      <alignment horizontal="right" vertical="center"/>
    </xf>
    <xf numFmtId="41" fontId="11" fillId="2" borderId="31" xfId="6" applyFont="1" applyFill="1" applyBorder="1" applyAlignment="1">
      <alignment horizontal="right" vertical="center"/>
    </xf>
    <xf numFmtId="0" fontId="13" fillId="0" borderId="54" xfId="5" applyFont="1" applyBorder="1" applyAlignment="1">
      <alignment horizontal="center" vertical="center"/>
    </xf>
    <xf numFmtId="0" fontId="13" fillId="0" borderId="22" xfId="5" applyFont="1" applyBorder="1" applyAlignment="1">
      <alignment horizontal="center" vertical="center"/>
    </xf>
    <xf numFmtId="0" fontId="13" fillId="0" borderId="23" xfId="5" applyFont="1" applyBorder="1" applyAlignment="1">
      <alignment horizontal="center" vertical="center"/>
    </xf>
    <xf numFmtId="0" fontId="13" fillId="0" borderId="61" xfId="5" applyFont="1" applyBorder="1" applyAlignment="1">
      <alignment horizontal="center" vertical="center"/>
    </xf>
    <xf numFmtId="0" fontId="13" fillId="0" borderId="18" xfId="5" applyFont="1" applyBorder="1" applyAlignment="1">
      <alignment horizontal="center" vertical="center"/>
    </xf>
    <xf numFmtId="0" fontId="13" fillId="0" borderId="2" xfId="5" applyFont="1" applyBorder="1" applyAlignment="1">
      <alignment horizontal="center" vertical="center"/>
    </xf>
    <xf numFmtId="0" fontId="13" fillId="0" borderId="4" xfId="5" applyFont="1" applyBorder="1" applyAlignment="1">
      <alignment horizontal="center" vertical="center"/>
    </xf>
    <xf numFmtId="0" fontId="13" fillId="0" borderId="43" xfId="5" applyFont="1" applyBorder="1" applyAlignment="1">
      <alignment horizontal="center" vertical="center"/>
    </xf>
    <xf numFmtId="0" fontId="13" fillId="0" borderId="24" xfId="5" applyFont="1" applyBorder="1" applyAlignment="1">
      <alignment horizontal="center" vertical="center"/>
    </xf>
    <xf numFmtId="0" fontId="13" fillId="0" borderId="47" xfId="5" applyFont="1" applyBorder="1" applyAlignment="1">
      <alignment horizontal="center" vertical="center"/>
    </xf>
    <xf numFmtId="0" fontId="13" fillId="0" borderId="39" xfId="5" applyFont="1" applyBorder="1" applyAlignment="1">
      <alignment horizontal="center" vertical="center"/>
    </xf>
    <xf numFmtId="41" fontId="11" fillId="2" borderId="56" xfId="6" applyFont="1" applyFill="1" applyBorder="1" applyAlignment="1">
      <alignment horizontal="right" vertical="center"/>
    </xf>
    <xf numFmtId="41" fontId="11" fillId="2" borderId="32" xfId="6" applyFont="1" applyFill="1" applyBorder="1" applyAlignment="1">
      <alignment horizontal="right" vertical="center"/>
    </xf>
    <xf numFmtId="41" fontId="11" fillId="2" borderId="57" xfId="6" applyFont="1" applyFill="1" applyBorder="1" applyAlignment="1">
      <alignment horizontal="right" vertical="center"/>
    </xf>
    <xf numFmtId="0" fontId="26" fillId="3" borderId="26" xfId="5" applyFont="1" applyFill="1" applyBorder="1" applyAlignment="1">
      <alignment horizontal="center" vertical="center"/>
    </xf>
    <xf numFmtId="0" fontId="26" fillId="3" borderId="27" xfId="5" applyFont="1" applyFill="1" applyBorder="1" applyAlignment="1">
      <alignment horizontal="center" vertical="center"/>
    </xf>
    <xf numFmtId="0" fontId="26" fillId="3" borderId="28" xfId="5" applyFont="1" applyFill="1" applyBorder="1" applyAlignment="1">
      <alignment horizontal="center" vertical="center"/>
    </xf>
    <xf numFmtId="185" fontId="37" fillId="3" borderId="30" xfId="5" applyNumberFormat="1" applyFont="1" applyFill="1" applyBorder="1" applyAlignment="1">
      <alignment horizontal="right" vertical="center"/>
    </xf>
    <xf numFmtId="185" fontId="37" fillId="3" borderId="31" xfId="5" applyNumberFormat="1" applyFon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7" fillId="6" borderId="1" xfId="3" applyFont="1" applyFill="1" applyBorder="1" applyAlignment="1">
      <alignment horizontal="center" vertical="center"/>
    </xf>
    <xf numFmtId="0" fontId="6" fillId="0" borderId="0" xfId="2" applyFont="1" applyAlignment="1">
      <alignment horizontal="left" vertical="center" wrapText="1"/>
    </xf>
  </cellXfs>
  <cellStyles count="7">
    <cellStyle name="쉼표 [0]" xfId="1" builtinId="6"/>
    <cellStyle name="쉼표 [0] 2" xfId="6"/>
    <cellStyle name="표준" xfId="0" builtinId="0"/>
    <cellStyle name="표준 2" xfId="5"/>
    <cellStyle name="표준_LGI롯데캐논_040226_운영견적(아이피그룹)" xfId="3"/>
    <cellStyle name="표준_기본PC Laser (2)_일산광주부산발권pc" xfId="2"/>
    <cellStyle name="표준_롯데 경영 정보 분석 시스템 구축 견적서(인브레인)_2005.10.2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3980295</xdr:colOff>
      <xdr:row>4</xdr:row>
      <xdr:rowOff>63500</xdr:rowOff>
    </xdr:from>
    <xdr:ext cx="6429375" cy="2587625"/>
    <xdr:sp macro="" textlink="">
      <xdr:nvSpPr>
        <xdr:cNvPr id="2" name="Text Box 13"/>
        <xdr:cNvSpPr txBox="1">
          <a:spLocks noChangeArrowheads="1"/>
        </xdr:cNvSpPr>
      </xdr:nvSpPr>
      <xdr:spPr bwMode="auto">
        <a:xfrm>
          <a:off x="9076170" y="3359150"/>
          <a:ext cx="6429375" cy="258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noAutofit/>
        </a:bodyPr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900" b="1" i="0" baseline="0">
              <a:effectLst/>
              <a:latin typeface="+mj-ea"/>
              <a:ea typeface="+mj-ea"/>
              <a:cs typeface="+mn-cs"/>
            </a:rPr>
            <a:t>상</a:t>
          </a:r>
          <a:r>
            <a:rPr lang="ko-KR" altLang="ko-KR" sz="1900" b="1" i="0" baseline="0">
              <a:effectLst/>
              <a:latin typeface="+mj-ea"/>
              <a:ea typeface="+mj-ea"/>
              <a:cs typeface="+mn-cs"/>
            </a:rPr>
            <a:t>   </a:t>
          </a:r>
          <a:r>
            <a:rPr lang="en-US" altLang="ko-KR" sz="1900" b="1" i="0" baseline="0">
              <a:effectLst/>
              <a:latin typeface="+mj-ea"/>
              <a:ea typeface="+mj-ea"/>
              <a:cs typeface="+mn-cs"/>
            </a:rPr>
            <a:t> </a:t>
          </a:r>
          <a:r>
            <a:rPr lang="ko-KR" altLang="ko-KR" sz="1900" b="1" i="0" baseline="0"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900" b="1" i="0" baseline="0">
              <a:effectLst/>
              <a:latin typeface="+mj-ea"/>
              <a:ea typeface="+mj-ea"/>
              <a:cs typeface="+mn-cs"/>
            </a:rPr>
            <a:t>    </a:t>
          </a:r>
          <a:r>
            <a:rPr lang="ko-KR" altLang="en-US" sz="1900" b="1" i="0" baseline="0">
              <a:effectLst/>
              <a:latin typeface="+mj-ea"/>
              <a:ea typeface="+mj-ea"/>
              <a:cs typeface="+mn-cs"/>
            </a:rPr>
            <a:t>호</a:t>
          </a:r>
          <a:r>
            <a:rPr lang="en-US" altLang="ko-KR" sz="1900" b="1" i="0" baseline="0">
              <a:effectLst/>
              <a:latin typeface="+mj-ea"/>
              <a:ea typeface="+mj-ea"/>
              <a:cs typeface="+mn-cs"/>
            </a:rPr>
            <a:t> </a:t>
          </a:r>
          <a:r>
            <a:rPr lang="ko-KR" altLang="ko-KR" sz="1900" b="1" i="0" baseline="0"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900" b="1" i="0" baseline="0">
              <a:effectLst/>
              <a:latin typeface="+mj-ea"/>
              <a:ea typeface="+mj-ea"/>
              <a:cs typeface="+mn-cs"/>
            </a:rPr>
            <a:t>:  (</a:t>
          </a:r>
          <a:r>
            <a:rPr lang="ko-KR" altLang="en-US" sz="1900" b="1" i="0" baseline="0">
              <a:effectLst/>
              <a:latin typeface="+mj-ea"/>
              <a:ea typeface="+mj-ea"/>
              <a:cs typeface="+mn-cs"/>
            </a:rPr>
            <a:t>주</a:t>
          </a:r>
          <a:r>
            <a:rPr lang="en-US" altLang="ko-KR" sz="1900" b="1" i="0" baseline="0">
              <a:effectLst/>
              <a:latin typeface="+mj-ea"/>
              <a:ea typeface="+mj-ea"/>
              <a:cs typeface="+mn-cs"/>
            </a:rPr>
            <a:t>) </a:t>
          </a:r>
          <a:r>
            <a:rPr lang="ko-KR" altLang="ko-KR" sz="1900" b="1" i="0" baseline="0">
              <a:effectLst/>
              <a:latin typeface="+mj-ea"/>
              <a:ea typeface="+mj-ea"/>
              <a:cs typeface="+mn-cs"/>
            </a:rPr>
            <a:t>버텍스아이디</a:t>
          </a:r>
          <a:endParaRPr lang="ko-KR" altLang="ko-KR" sz="1900" b="1">
            <a:effectLst/>
            <a:latin typeface="+mj-ea"/>
            <a:ea typeface="+mj-ea"/>
          </a:endParaRPr>
        </a:p>
        <a:p>
          <a:pPr rtl="0"/>
          <a:r>
            <a:rPr lang="ko-KR" altLang="en-US" sz="1900" b="1" i="0" baseline="0">
              <a:effectLst/>
              <a:latin typeface="+mj-ea"/>
              <a:ea typeface="+mj-ea"/>
              <a:cs typeface="+mn-cs"/>
            </a:rPr>
            <a:t>대 표 이 사</a:t>
          </a:r>
          <a:r>
            <a:rPr lang="en-US" altLang="ko-KR" sz="1900" b="1" i="0" baseline="0">
              <a:effectLst/>
              <a:latin typeface="+mj-ea"/>
              <a:ea typeface="+mj-ea"/>
              <a:cs typeface="+mn-cs"/>
            </a:rPr>
            <a:t>  :   </a:t>
          </a:r>
          <a:r>
            <a:rPr lang="ko-KR" altLang="ko-KR" sz="1900" b="1" i="0" baseline="0">
              <a:effectLst/>
              <a:latin typeface="+mj-ea"/>
              <a:ea typeface="+mj-ea"/>
              <a:cs typeface="+mn-cs"/>
            </a:rPr>
            <a:t>홍       순       철</a:t>
          </a:r>
          <a:endParaRPr lang="en-US" altLang="ko-KR" sz="1900" b="1" i="0" baseline="0">
            <a:effectLst/>
            <a:latin typeface="+mj-ea"/>
            <a:ea typeface="+mj-ea"/>
            <a:cs typeface="+mn-cs"/>
          </a:endParaRPr>
        </a:p>
        <a:p>
          <a:pPr rtl="0"/>
          <a:r>
            <a:rPr lang="ko-KR" altLang="en-US" sz="1900" b="1" i="0" baseline="0">
              <a:latin typeface="+mj-ea"/>
              <a:ea typeface="+mj-ea"/>
              <a:cs typeface="+mn-cs"/>
            </a:rPr>
            <a:t>주        소</a:t>
          </a:r>
          <a:r>
            <a:rPr lang="en-US" altLang="ko-KR" sz="1900" b="1" i="0" baseline="0">
              <a:latin typeface="+mj-ea"/>
              <a:ea typeface="+mj-ea"/>
              <a:cs typeface="+mn-cs"/>
            </a:rPr>
            <a:t>   :  </a:t>
          </a:r>
          <a:r>
            <a:rPr lang="ko-KR" altLang="ko-KR" sz="1600" b="1" i="0" baseline="0">
              <a:latin typeface="+mj-ea"/>
              <a:ea typeface="+mj-ea"/>
              <a:cs typeface="+mn-cs"/>
            </a:rPr>
            <a:t>서울 </a:t>
          </a:r>
          <a:r>
            <a:rPr lang="en-US" altLang="ko-KR" sz="1600" b="1" i="0" baseline="0">
              <a:latin typeface="+mj-ea"/>
              <a:ea typeface="+mj-ea"/>
              <a:cs typeface="+mn-cs"/>
            </a:rPr>
            <a:t> </a:t>
          </a:r>
          <a:r>
            <a:rPr lang="ko-KR" altLang="ko-KR" sz="1600" b="1" i="0" baseline="0">
              <a:latin typeface="+mj-ea"/>
              <a:ea typeface="+mj-ea"/>
              <a:cs typeface="+mn-cs"/>
            </a:rPr>
            <a:t>강남</a:t>
          </a:r>
          <a:r>
            <a:rPr lang="en-US" altLang="ko-KR" sz="1600" b="1" i="0" baseline="0">
              <a:latin typeface="+mj-ea"/>
              <a:ea typeface="+mj-ea"/>
              <a:cs typeface="+mn-cs"/>
            </a:rPr>
            <a:t> </a:t>
          </a:r>
          <a:r>
            <a:rPr lang="ko-KR" altLang="ko-KR" sz="1600" b="1" i="0" baseline="0">
              <a:latin typeface="+mj-ea"/>
              <a:ea typeface="+mj-ea"/>
              <a:cs typeface="+mn-cs"/>
            </a:rPr>
            <a:t> </a:t>
          </a:r>
          <a:r>
            <a:rPr lang="ko-KR" altLang="en-US" sz="1600" b="1" i="0" baseline="0">
              <a:latin typeface="+mj-ea"/>
              <a:ea typeface="+mj-ea"/>
              <a:cs typeface="+mn-cs"/>
            </a:rPr>
            <a:t>언주로</a:t>
          </a:r>
          <a:r>
            <a:rPr lang="en-US" altLang="ko-KR" sz="1600" b="1" i="0" baseline="0">
              <a:latin typeface="+mj-ea"/>
              <a:ea typeface="+mj-ea"/>
              <a:cs typeface="+mn-cs"/>
            </a:rPr>
            <a:t>121</a:t>
          </a:r>
          <a:r>
            <a:rPr lang="ko-KR" altLang="en-US" sz="1600" b="1" i="0" baseline="0">
              <a:latin typeface="+mj-ea"/>
              <a:ea typeface="+mj-ea"/>
              <a:cs typeface="+mn-cs"/>
            </a:rPr>
            <a:t>길 </a:t>
          </a:r>
          <a:r>
            <a:rPr lang="en-US" altLang="ko-KR" sz="1600" b="1" i="0" baseline="0">
              <a:latin typeface="+mj-ea"/>
              <a:ea typeface="+mj-ea"/>
              <a:cs typeface="+mn-cs"/>
            </a:rPr>
            <a:t>13 </a:t>
          </a:r>
          <a:r>
            <a:rPr lang="ko-KR" altLang="ko-KR" sz="1600" b="1" i="0" baseline="0">
              <a:latin typeface="+mj-ea"/>
              <a:ea typeface="+mj-ea"/>
              <a:cs typeface="+mn-cs"/>
            </a:rPr>
            <a:t>버텍스아이디빌딩</a:t>
          </a:r>
          <a:endParaRPr lang="en-US" altLang="ko-KR" sz="1600" b="1" i="0" baseline="0">
            <a:latin typeface="+mj-ea"/>
            <a:ea typeface="+mj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900" b="1" i="0" baseline="0">
              <a:effectLst/>
              <a:latin typeface="+mj-ea"/>
              <a:ea typeface="+mj-ea"/>
              <a:cs typeface="+mn-cs"/>
            </a:rPr>
            <a:t>TEL : (02) 3446 - 0337   /  FAX:(02)3446-0339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ko-KR" sz="1900" b="1" i="0" baseline="0">
            <a:effectLst/>
            <a:latin typeface="+mj-ea"/>
            <a:ea typeface="+mj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ko-KR" sz="1900" b="1" i="0" u="sng" baseline="0">
              <a:latin typeface="+mj-ea"/>
              <a:ea typeface="+mj-ea"/>
              <a:cs typeface="+mn-cs"/>
            </a:rPr>
            <a:t>담  </a:t>
          </a:r>
          <a:r>
            <a:rPr lang="en-US" altLang="ko-KR" sz="1900" b="1" i="0" u="sng" baseline="0">
              <a:latin typeface="+mj-ea"/>
              <a:ea typeface="+mj-ea"/>
              <a:cs typeface="+mn-cs"/>
            </a:rPr>
            <a:t>       </a:t>
          </a:r>
          <a:r>
            <a:rPr lang="ko-KR" altLang="ko-KR" sz="1900" b="1" i="0" u="sng" baseline="0">
              <a:latin typeface="+mj-ea"/>
              <a:ea typeface="+mj-ea"/>
              <a:cs typeface="+mn-cs"/>
            </a:rPr>
            <a:t> 당 </a:t>
          </a:r>
          <a:r>
            <a:rPr lang="en-US" altLang="ko-KR" sz="1900" b="1" i="0" u="sng" baseline="0">
              <a:latin typeface="+mj-ea"/>
              <a:ea typeface="+mj-ea"/>
              <a:cs typeface="+mn-cs"/>
            </a:rPr>
            <a:t>:  </a:t>
          </a:r>
          <a:r>
            <a:rPr lang="ko-KR" altLang="en-US" sz="1900" b="1" i="0" u="sng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박종찬 </a:t>
          </a:r>
          <a:r>
            <a:rPr lang="en-US" altLang="ko-KR" sz="1900" b="1" i="0" u="sng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/ </a:t>
          </a:r>
          <a:r>
            <a:rPr lang="ko-KR" altLang="en-US" sz="1900" b="1" i="0" u="sng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이사</a:t>
          </a:r>
          <a:r>
            <a:rPr lang="ko-KR" altLang="ko-KR" sz="1900" b="1" i="0" u="sng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900" b="1" i="0" u="sng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(010-4559-0337</a:t>
          </a:r>
          <a:r>
            <a:rPr lang="en-US" altLang="ko-KR" sz="1900" b="1" i="0" u="sng" baseline="0">
              <a:solidFill>
                <a:sysClr val="windowText" lastClr="000000"/>
              </a:solidFill>
              <a:latin typeface="+mj-ea"/>
              <a:ea typeface="+mj-ea"/>
              <a:cs typeface="+mn-cs"/>
            </a:rPr>
            <a:t>)</a:t>
          </a:r>
          <a:endParaRPr lang="ko-KR" altLang="ko-KR" sz="1900" b="1">
            <a:solidFill>
              <a:sysClr val="windowText" lastClr="000000"/>
            </a:solidFill>
            <a:effectLst/>
            <a:latin typeface="+mj-ea"/>
            <a:ea typeface="+mj-ea"/>
          </a:endParaRPr>
        </a:p>
      </xdr:txBody>
    </xdr:sp>
    <xdr:clientData/>
  </xdr:oneCellAnchor>
  <xdr:twoCellAnchor editAs="oneCell">
    <xdr:from>
      <xdr:col>3</xdr:col>
      <xdr:colOff>2409759</xdr:colOff>
      <xdr:row>0</xdr:row>
      <xdr:rowOff>69271</xdr:rowOff>
    </xdr:from>
    <xdr:to>
      <xdr:col>6</xdr:col>
      <xdr:colOff>1895622</xdr:colOff>
      <xdr:row>1</xdr:row>
      <xdr:rowOff>138545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5634" y="69271"/>
          <a:ext cx="8753688" cy="1536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"/>
  <sheetViews>
    <sheetView view="pageBreakPreview" topLeftCell="A4" zoomScale="50" zoomScaleNormal="55" zoomScaleSheetLayoutView="50" zoomScalePageLayoutView="20" workbookViewId="0">
      <selection activeCell="D9" sqref="D9"/>
    </sheetView>
  </sheetViews>
  <sheetFormatPr defaultColWidth="10" defaultRowHeight="12"/>
  <cols>
    <col min="1" max="1" width="22.375" style="52" customWidth="1"/>
    <col min="2" max="2" width="20.375" style="52" customWidth="1"/>
    <col min="3" max="3" width="24.125" style="52" customWidth="1"/>
    <col min="4" max="4" width="76.625" style="52" customWidth="1"/>
    <col min="5" max="5" width="16.875" style="52" customWidth="1"/>
    <col min="6" max="6" width="28.125" style="52" customWidth="1"/>
    <col min="7" max="7" width="28" style="52" customWidth="1"/>
    <col min="8" max="8" width="10.25" style="52" bestFit="1" customWidth="1"/>
    <col min="9" max="9" width="12" style="52" customWidth="1"/>
    <col min="10" max="16384" width="10" style="52"/>
  </cols>
  <sheetData>
    <row r="1" spans="1:7" ht="115.5" customHeight="1"/>
    <row r="2" spans="1:7" ht="57" customHeight="1">
      <c r="A2" s="122" t="s">
        <v>57</v>
      </c>
      <c r="B2" s="122"/>
      <c r="C2" s="122"/>
      <c r="D2" s="122"/>
      <c r="E2" s="122"/>
      <c r="F2" s="122"/>
      <c r="G2" s="122"/>
    </row>
    <row r="3" spans="1:7" ht="41.25" customHeight="1">
      <c r="A3" s="122"/>
      <c r="B3" s="122"/>
      <c r="C3" s="122"/>
      <c r="D3" s="122"/>
      <c r="E3" s="122"/>
      <c r="F3" s="122"/>
      <c r="G3" s="122"/>
    </row>
    <row r="4" spans="1:7" s="55" customFormat="1" ht="45.75" customHeight="1">
      <c r="A4" s="53" t="s">
        <v>58</v>
      </c>
      <c r="B4" s="123"/>
      <c r="C4" s="123"/>
      <c r="D4" s="54" t="s">
        <v>59</v>
      </c>
      <c r="E4" s="124">
        <f ca="1">TODAY()</f>
        <v>42705</v>
      </c>
      <c r="F4" s="124"/>
      <c r="G4" s="124"/>
    </row>
    <row r="5" spans="1:7" s="55" customFormat="1" ht="43.5" customHeight="1">
      <c r="A5" s="125" t="s">
        <v>128</v>
      </c>
      <c r="B5" s="125"/>
      <c r="C5" s="125"/>
      <c r="D5" s="56"/>
      <c r="E5" s="56"/>
      <c r="F5" s="56"/>
      <c r="G5" s="57"/>
    </row>
    <row r="6" spans="1:7" s="55" customFormat="1" ht="30.75" customHeight="1">
      <c r="A6" s="58" t="s">
        <v>111</v>
      </c>
      <c r="B6" s="56"/>
      <c r="C6" s="56"/>
      <c r="D6" s="59"/>
      <c r="E6" s="59"/>
      <c r="F6" s="59"/>
      <c r="G6" s="57"/>
    </row>
    <row r="7" spans="1:7" s="55" customFormat="1" ht="53.25" customHeight="1">
      <c r="A7" s="126"/>
      <c r="B7" s="126"/>
      <c r="C7" s="126"/>
      <c r="D7" s="126"/>
      <c r="E7" s="126"/>
      <c r="F7" s="60"/>
      <c r="G7" s="61"/>
    </row>
    <row r="8" spans="1:7" s="55" customFormat="1" ht="41.25" customHeight="1">
      <c r="A8" s="62" t="s">
        <v>60</v>
      </c>
      <c r="B8" s="62"/>
      <c r="C8" s="62"/>
      <c r="D8" s="62"/>
      <c r="E8" s="62"/>
      <c r="F8" s="60"/>
      <c r="G8" s="61"/>
    </row>
    <row r="9" spans="1:7" s="55" customFormat="1" ht="41.25" customHeight="1">
      <c r="A9" s="63"/>
      <c r="B9" s="63"/>
      <c r="C9" s="63"/>
      <c r="D9" s="63"/>
      <c r="E9" s="63"/>
      <c r="F9" s="63"/>
      <c r="G9" s="61"/>
    </row>
    <row r="10" spans="1:7" s="55" customFormat="1" ht="48" customHeight="1">
      <c r="A10" s="121" t="str">
        <f>"合計金額 (공급가 + V.A.T) : 일금 "&amp;NUMBERSTRING(F48*1.1,1)&amp;"원정 ("&amp;DOLLAR(F48*1.1)&amp;"--)"</f>
        <v>合計金額 (공급가 + V.A.T) : 일금 이억일천삼백칠십삼만원정 (₩213,730,000--)</v>
      </c>
      <c r="B10" s="121"/>
      <c r="C10" s="121"/>
      <c r="D10" s="121"/>
      <c r="E10" s="121"/>
      <c r="F10" s="121"/>
      <c r="G10" s="64"/>
    </row>
    <row r="11" spans="1:7" s="65" customFormat="1" ht="19.5" customHeight="1" thickBot="1">
      <c r="A11" s="52"/>
      <c r="B11" s="52"/>
      <c r="C11" s="52"/>
      <c r="D11" s="52"/>
      <c r="E11" s="52"/>
      <c r="F11" s="127" t="s">
        <v>61</v>
      </c>
      <c r="G11" s="127"/>
    </row>
    <row r="12" spans="1:7" s="65" customFormat="1" ht="24.95" customHeight="1">
      <c r="A12" s="128" t="s">
        <v>62</v>
      </c>
      <c r="B12" s="131" t="s">
        <v>63</v>
      </c>
      <c r="C12" s="131"/>
      <c r="D12" s="66" t="s">
        <v>112</v>
      </c>
      <c r="E12" s="132" t="s">
        <v>115</v>
      </c>
      <c r="F12" s="133"/>
      <c r="G12" s="134"/>
    </row>
    <row r="13" spans="1:7" s="65" customFormat="1" ht="24.95" customHeight="1">
      <c r="A13" s="129"/>
      <c r="B13" s="141" t="s">
        <v>113</v>
      </c>
      <c r="C13" s="141"/>
      <c r="D13" s="67" t="s">
        <v>55</v>
      </c>
      <c r="E13" s="135"/>
      <c r="F13" s="136"/>
      <c r="G13" s="137"/>
    </row>
    <row r="14" spans="1:7" s="65" customFormat="1" ht="24.95" customHeight="1">
      <c r="A14" s="129"/>
      <c r="B14" s="141" t="s">
        <v>64</v>
      </c>
      <c r="C14" s="141"/>
      <c r="D14" s="67" t="s">
        <v>114</v>
      </c>
      <c r="E14" s="138"/>
      <c r="F14" s="139"/>
      <c r="G14" s="140"/>
    </row>
    <row r="15" spans="1:7" s="65" customFormat="1" ht="56.25" customHeight="1" thickBot="1">
      <c r="A15" s="130"/>
      <c r="B15" s="142" t="s">
        <v>65</v>
      </c>
      <c r="C15" s="143"/>
      <c r="D15" s="144" t="s">
        <v>116</v>
      </c>
      <c r="E15" s="145"/>
      <c r="F15" s="145"/>
      <c r="G15" s="146"/>
    </row>
    <row r="16" spans="1:7" s="68" customFormat="1" ht="21.75" customHeight="1">
      <c r="A16" s="160"/>
      <c r="B16" s="162" t="s">
        <v>66</v>
      </c>
      <c r="C16" s="163"/>
      <c r="D16" s="164" t="s">
        <v>56</v>
      </c>
      <c r="E16" s="166" t="s">
        <v>67</v>
      </c>
      <c r="F16" s="166" t="s">
        <v>68</v>
      </c>
      <c r="G16" s="168"/>
    </row>
    <row r="17" spans="1:8" s="65" customFormat="1" ht="23.25" hidden="1" customHeight="1">
      <c r="A17" s="161"/>
      <c r="B17" s="162"/>
      <c r="C17" s="163"/>
      <c r="D17" s="165"/>
      <c r="E17" s="167"/>
      <c r="F17" s="69" t="s">
        <v>69</v>
      </c>
      <c r="G17" s="70" t="s">
        <v>70</v>
      </c>
    </row>
    <row r="18" spans="1:8" s="65" customFormat="1" ht="24.95" customHeight="1">
      <c r="A18" s="147" t="s">
        <v>71</v>
      </c>
      <c r="B18" s="149" t="s">
        <v>117</v>
      </c>
      <c r="C18" s="149"/>
      <c r="D18" s="71" t="s">
        <v>120</v>
      </c>
      <c r="E18" s="151">
        <v>1</v>
      </c>
      <c r="F18" s="154">
        <f>F29</f>
        <v>299011956</v>
      </c>
      <c r="G18" s="157">
        <f>E18*F18</f>
        <v>299011956</v>
      </c>
    </row>
    <row r="19" spans="1:8" s="65" customFormat="1" ht="24.95" customHeight="1">
      <c r="A19" s="147"/>
      <c r="B19" s="149"/>
      <c r="C19" s="149"/>
      <c r="D19" s="72" t="s">
        <v>121</v>
      </c>
      <c r="E19" s="152"/>
      <c r="F19" s="155"/>
      <c r="G19" s="158"/>
    </row>
    <row r="20" spans="1:8" s="65" customFormat="1" ht="24.95" customHeight="1">
      <c r="A20" s="147"/>
      <c r="B20" s="149"/>
      <c r="C20" s="149"/>
      <c r="D20" s="72" t="s">
        <v>122</v>
      </c>
      <c r="E20" s="152"/>
      <c r="F20" s="155"/>
      <c r="G20" s="158"/>
    </row>
    <row r="21" spans="1:8" s="65" customFormat="1" ht="24.95" customHeight="1">
      <c r="A21" s="147"/>
      <c r="B21" s="149"/>
      <c r="C21" s="149"/>
      <c r="D21" s="72" t="s">
        <v>118</v>
      </c>
      <c r="E21" s="152"/>
      <c r="F21" s="155"/>
      <c r="G21" s="158"/>
    </row>
    <row r="22" spans="1:8" s="65" customFormat="1" ht="24.95" customHeight="1">
      <c r="A22" s="147"/>
      <c r="B22" s="149"/>
      <c r="C22" s="149"/>
      <c r="D22" s="73" t="s">
        <v>119</v>
      </c>
      <c r="E22" s="152"/>
      <c r="F22" s="155"/>
      <c r="G22" s="158"/>
    </row>
    <row r="23" spans="1:8" s="65" customFormat="1" ht="24.95" customHeight="1" thickBot="1">
      <c r="A23" s="148"/>
      <c r="B23" s="150"/>
      <c r="C23" s="150"/>
      <c r="D23" s="74"/>
      <c r="E23" s="153"/>
      <c r="F23" s="156"/>
      <c r="G23" s="159"/>
    </row>
    <row r="24" spans="1:8" s="65" customFormat="1" ht="24.95" customHeight="1">
      <c r="A24" s="169" t="s">
        <v>72</v>
      </c>
      <c r="B24" s="170"/>
      <c r="C24" s="171"/>
      <c r="D24" s="75" t="s">
        <v>73</v>
      </c>
      <c r="E24" s="76" t="s">
        <v>74</v>
      </c>
      <c r="F24" s="77" t="s">
        <v>75</v>
      </c>
      <c r="G24" s="78" t="s">
        <v>76</v>
      </c>
    </row>
    <row r="25" spans="1:8" s="65" customFormat="1" ht="24.95" customHeight="1">
      <c r="A25" s="172" t="s">
        <v>77</v>
      </c>
      <c r="B25" s="173"/>
      <c r="C25" s="79" t="s">
        <v>78</v>
      </c>
      <c r="D25" s="80" t="s">
        <v>79</v>
      </c>
      <c r="E25" s="81">
        <f>SUMIFS(공수!$J:$J,공수!$D:$D,$C25)</f>
        <v>5</v>
      </c>
      <c r="F25" s="82">
        <v>19770541</v>
      </c>
      <c r="G25" s="83">
        <f t="shared" ref="G25:G28" si="0">F25*LEFT(E25,4)</f>
        <v>98852705</v>
      </c>
    </row>
    <row r="26" spans="1:8" s="65" customFormat="1" ht="24.95" customHeight="1">
      <c r="A26" s="174"/>
      <c r="B26" s="175"/>
      <c r="C26" s="84" t="s">
        <v>80</v>
      </c>
      <c r="D26" s="80" t="s">
        <v>81</v>
      </c>
      <c r="E26" s="81">
        <f>SUMIFS(공수!$J:$J,공수!$D:$D,$C26)</f>
        <v>0</v>
      </c>
      <c r="F26" s="82">
        <v>14614387</v>
      </c>
      <c r="G26" s="83">
        <f t="shared" si="0"/>
        <v>0</v>
      </c>
    </row>
    <row r="27" spans="1:8" s="65" customFormat="1" ht="24.95" customHeight="1">
      <c r="A27" s="174"/>
      <c r="B27" s="175"/>
      <c r="C27" s="79" t="s">
        <v>82</v>
      </c>
      <c r="D27" s="85" t="s">
        <v>83</v>
      </c>
      <c r="E27" s="81">
        <f>SUMIFS(공수!$J:$J,공수!$D:$D,$C27)</f>
        <v>14.5</v>
      </c>
      <c r="F27" s="86">
        <v>11715166</v>
      </c>
      <c r="G27" s="83">
        <f t="shared" si="0"/>
        <v>169869907</v>
      </c>
    </row>
    <row r="28" spans="1:8" s="65" customFormat="1" ht="24.95" customHeight="1" thickBot="1">
      <c r="A28" s="176"/>
      <c r="B28" s="177"/>
      <c r="C28" s="87" t="s">
        <v>84</v>
      </c>
      <c r="D28" s="88" t="s">
        <v>85</v>
      </c>
      <c r="E28" s="81">
        <f>SUMIFS(공수!$J:$J,공수!$D:$D,$C28)</f>
        <v>3</v>
      </c>
      <c r="F28" s="89">
        <v>10096448</v>
      </c>
      <c r="G28" s="83">
        <f t="shared" si="0"/>
        <v>30289344</v>
      </c>
    </row>
    <row r="29" spans="1:8" s="65" customFormat="1" ht="24.95" customHeight="1" thickBot="1">
      <c r="A29" s="178" t="s">
        <v>86</v>
      </c>
      <c r="B29" s="179"/>
      <c r="C29" s="179"/>
      <c r="D29" s="180"/>
      <c r="E29" s="90">
        <f>SUM(E25:E28)</f>
        <v>22.5</v>
      </c>
      <c r="F29" s="181">
        <f>SUM(G25:G28)</f>
        <v>299011956</v>
      </c>
      <c r="G29" s="182"/>
    </row>
    <row r="30" spans="1:8" s="65" customFormat="1" ht="39.75" customHeight="1" thickBot="1">
      <c r="A30" s="91" t="s">
        <v>87</v>
      </c>
      <c r="B30" s="183" t="s">
        <v>127</v>
      </c>
      <c r="C30" s="183"/>
      <c r="D30" s="184"/>
      <c r="E30" s="185">
        <f>ROUNDDOWN(F29*(100%-(MID(B30,5,3))),-5)</f>
        <v>194300000</v>
      </c>
      <c r="F30" s="186"/>
      <c r="G30" s="187"/>
      <c r="H30" s="92"/>
    </row>
    <row r="31" spans="1:8" ht="24.95" customHeight="1">
      <c r="A31" s="93"/>
      <c r="B31" s="194" t="s">
        <v>88</v>
      </c>
      <c r="C31" s="194"/>
      <c r="D31" s="94" t="s">
        <v>89</v>
      </c>
      <c r="E31" s="94" t="s">
        <v>90</v>
      </c>
      <c r="F31" s="94" t="s">
        <v>91</v>
      </c>
      <c r="G31" s="95" t="s">
        <v>92</v>
      </c>
    </row>
    <row r="32" spans="1:8" ht="24.95" customHeight="1">
      <c r="A32" s="195" t="s">
        <v>93</v>
      </c>
      <c r="B32" s="190"/>
      <c r="C32" s="191"/>
      <c r="D32" s="96"/>
      <c r="E32" s="197"/>
      <c r="F32" s="199"/>
      <c r="G32" s="188"/>
    </row>
    <row r="33" spans="1:9" ht="24.95" customHeight="1">
      <c r="A33" s="196"/>
      <c r="B33" s="192"/>
      <c r="C33" s="193"/>
      <c r="D33" s="97"/>
      <c r="E33" s="198"/>
      <c r="F33" s="200"/>
      <c r="G33" s="189"/>
    </row>
    <row r="34" spans="1:9" ht="24.95" customHeight="1">
      <c r="A34" s="221" t="s">
        <v>94</v>
      </c>
      <c r="B34" s="190"/>
      <c r="C34" s="191"/>
      <c r="D34" s="97"/>
      <c r="E34" s="197"/>
      <c r="F34" s="199"/>
      <c r="G34" s="188">
        <f>E34*F34</f>
        <v>0</v>
      </c>
    </row>
    <row r="35" spans="1:9" ht="24.95" customHeight="1">
      <c r="A35" s="222"/>
      <c r="B35" s="192"/>
      <c r="C35" s="193"/>
      <c r="D35" s="97"/>
      <c r="E35" s="198"/>
      <c r="F35" s="200"/>
      <c r="G35" s="189"/>
    </row>
    <row r="36" spans="1:9" ht="24.95" customHeight="1">
      <c r="A36" s="222"/>
      <c r="B36" s="190"/>
      <c r="C36" s="191"/>
      <c r="D36" s="97"/>
      <c r="E36" s="197"/>
      <c r="F36" s="199"/>
      <c r="G36" s="188">
        <f>E36*F36</f>
        <v>0</v>
      </c>
      <c r="I36" s="55"/>
    </row>
    <row r="37" spans="1:9" ht="24.95" customHeight="1">
      <c r="A37" s="222"/>
      <c r="B37" s="192"/>
      <c r="C37" s="193"/>
      <c r="D37" s="97"/>
      <c r="E37" s="198"/>
      <c r="F37" s="200"/>
      <c r="G37" s="189"/>
    </row>
    <row r="38" spans="1:9" ht="24.95" customHeight="1">
      <c r="A38" s="222"/>
      <c r="B38" s="190"/>
      <c r="C38" s="191"/>
      <c r="D38" s="98"/>
      <c r="E38" s="197"/>
      <c r="F38" s="197"/>
      <c r="G38" s="188">
        <f t="shared" ref="G38" si="1">E38*F38</f>
        <v>0</v>
      </c>
    </row>
    <row r="39" spans="1:9" ht="24.95" customHeight="1">
      <c r="A39" s="222"/>
      <c r="B39" s="192"/>
      <c r="C39" s="193"/>
      <c r="D39" s="97"/>
      <c r="E39" s="198"/>
      <c r="F39" s="198"/>
      <c r="G39" s="189"/>
    </row>
    <row r="40" spans="1:9" ht="24.95" customHeight="1">
      <c r="A40" s="222"/>
      <c r="B40" s="201"/>
      <c r="C40" s="201"/>
      <c r="D40" s="97"/>
      <c r="E40" s="202"/>
      <c r="F40" s="202"/>
      <c r="G40" s="203">
        <f t="shared" ref="G40" si="2">E40*F40</f>
        <v>0</v>
      </c>
    </row>
    <row r="41" spans="1:9" ht="24.95" customHeight="1">
      <c r="A41" s="222"/>
      <c r="B41" s="201"/>
      <c r="C41" s="201"/>
      <c r="D41" s="97"/>
      <c r="E41" s="202"/>
      <c r="F41" s="202"/>
      <c r="G41" s="203"/>
    </row>
    <row r="42" spans="1:9" ht="36.6" customHeight="1" thickBot="1">
      <c r="A42" s="222"/>
      <c r="B42" s="205"/>
      <c r="C42" s="206"/>
      <c r="D42" s="98"/>
      <c r="E42" s="99"/>
      <c r="F42" s="99"/>
      <c r="G42" s="100">
        <f t="shared" ref="G42" si="3">E42*F42</f>
        <v>0</v>
      </c>
    </row>
    <row r="43" spans="1:9" ht="39.75" customHeight="1" thickBot="1">
      <c r="A43" s="101" t="s">
        <v>95</v>
      </c>
      <c r="B43" s="207" t="s">
        <v>96</v>
      </c>
      <c r="C43" s="207"/>
      <c r="D43" s="208"/>
      <c r="E43" s="209">
        <f>ROUNDDOWN(SUM(G34:G42),-4)</f>
        <v>0</v>
      </c>
      <c r="F43" s="210"/>
      <c r="G43" s="211"/>
    </row>
    <row r="44" spans="1:9" ht="24.95" customHeight="1">
      <c r="A44" s="212" t="s">
        <v>97</v>
      </c>
      <c r="B44" s="215" t="s">
        <v>98</v>
      </c>
      <c r="C44" s="216"/>
      <c r="D44" s="102"/>
      <c r="E44" s="103"/>
      <c r="F44" s="104"/>
      <c r="G44" s="105">
        <f>E44*F44</f>
        <v>0</v>
      </c>
    </row>
    <row r="45" spans="1:9" ht="24.95" customHeight="1">
      <c r="A45" s="213"/>
      <c r="B45" s="217" t="s">
        <v>99</v>
      </c>
      <c r="C45" s="218"/>
      <c r="D45" s="106"/>
      <c r="E45" s="107"/>
      <c r="F45" s="108"/>
      <c r="G45" s="109">
        <f>E45*F45</f>
        <v>0</v>
      </c>
    </row>
    <row r="46" spans="1:9" ht="24.95" customHeight="1" thickBot="1">
      <c r="A46" s="214"/>
      <c r="B46" s="219" t="s">
        <v>100</v>
      </c>
      <c r="C46" s="220"/>
      <c r="D46" s="110"/>
      <c r="E46" s="111"/>
      <c r="F46" s="112"/>
      <c r="G46" s="113">
        <f>E46*F46</f>
        <v>0</v>
      </c>
    </row>
    <row r="47" spans="1:9" ht="39.75" customHeight="1" thickBot="1">
      <c r="A47" s="101" t="s">
        <v>101</v>
      </c>
      <c r="B47" s="207" t="s">
        <v>102</v>
      </c>
      <c r="C47" s="207"/>
      <c r="D47" s="208"/>
      <c r="E47" s="223">
        <f>ROUNDDOWN(SUM(G44:G46),-4)</f>
        <v>0</v>
      </c>
      <c r="F47" s="224"/>
      <c r="G47" s="225"/>
    </row>
    <row r="48" spans="1:9" s="65" customFormat="1" ht="58.5" customHeight="1" thickBot="1">
      <c r="A48" s="226" t="s">
        <v>103</v>
      </c>
      <c r="B48" s="227"/>
      <c r="C48" s="227"/>
      <c r="D48" s="227"/>
      <c r="E48" s="228"/>
      <c r="F48" s="229">
        <f>SUM(E30,E43,E47)</f>
        <v>194300000</v>
      </c>
      <c r="G48" s="230"/>
    </row>
    <row r="49" spans="1:8" s="65" customFormat="1" ht="13.5">
      <c r="A49" s="114"/>
      <c r="B49" s="114"/>
      <c r="C49" s="114"/>
      <c r="D49" s="114"/>
      <c r="E49" s="115"/>
      <c r="F49" s="115"/>
      <c r="G49" s="116"/>
    </row>
    <row r="50" spans="1:8" s="119" customFormat="1" ht="26.25">
      <c r="A50" s="204" t="s">
        <v>104</v>
      </c>
      <c r="B50" s="204"/>
      <c r="C50" s="204"/>
      <c r="D50" s="117"/>
      <c r="E50" s="118"/>
      <c r="F50" s="118"/>
    </row>
    <row r="51" spans="1:8" s="119" customFormat="1" ht="26.25">
      <c r="A51" s="204" t="s">
        <v>105</v>
      </c>
      <c r="B51" s="204"/>
      <c r="C51" s="204"/>
      <c r="D51" s="204"/>
      <c r="E51" s="118"/>
      <c r="F51" s="118"/>
      <c r="G51" s="118"/>
      <c r="H51" s="118"/>
    </row>
    <row r="52" spans="1:8" s="119" customFormat="1" ht="26.25">
      <c r="A52" s="204" t="s">
        <v>106</v>
      </c>
      <c r="B52" s="204"/>
      <c r="C52" s="204"/>
      <c r="D52" s="204"/>
      <c r="E52" s="118"/>
      <c r="F52" s="118"/>
      <c r="G52" s="118"/>
      <c r="H52" s="118"/>
    </row>
    <row r="53" spans="1:8" ht="26.25">
      <c r="A53" s="204" t="s">
        <v>107</v>
      </c>
      <c r="B53" s="204"/>
      <c r="C53" s="204"/>
      <c r="D53" s="204"/>
      <c r="E53" s="120"/>
      <c r="F53" s="120"/>
      <c r="G53" s="120"/>
    </row>
    <row r="54" spans="1:8" ht="26.25">
      <c r="A54" s="204" t="s">
        <v>108</v>
      </c>
      <c r="B54" s="204"/>
      <c r="C54" s="204"/>
      <c r="D54" s="204"/>
      <c r="E54" s="120"/>
      <c r="F54" s="120"/>
      <c r="G54" s="120"/>
    </row>
    <row r="55" spans="1:8" ht="26.25">
      <c r="A55" s="204" t="s">
        <v>109</v>
      </c>
      <c r="B55" s="204"/>
      <c r="C55" s="204"/>
      <c r="D55" s="204"/>
      <c r="E55" s="120"/>
      <c r="F55" s="120"/>
      <c r="G55" s="120"/>
    </row>
    <row r="56" spans="1:8" ht="26.25">
      <c r="A56" s="204" t="s">
        <v>110</v>
      </c>
      <c r="B56" s="204"/>
      <c r="C56" s="204"/>
      <c r="D56" s="204"/>
      <c r="E56" s="120"/>
      <c r="F56" s="120"/>
      <c r="G56" s="120"/>
    </row>
    <row r="57" spans="1:8" ht="13.5">
      <c r="A57" s="120"/>
      <c r="B57" s="120"/>
      <c r="C57" s="120"/>
      <c r="D57" s="120"/>
      <c r="E57" s="120"/>
      <c r="F57" s="120"/>
      <c r="G57" s="120"/>
    </row>
    <row r="58" spans="1:8" ht="13.5">
      <c r="A58" s="120"/>
      <c r="B58" s="120"/>
      <c r="C58" s="120"/>
      <c r="D58" s="120"/>
      <c r="E58" s="120"/>
      <c r="F58" s="120"/>
      <c r="G58" s="120"/>
    </row>
    <row r="59" spans="1:8" ht="13.5">
      <c r="A59" s="120"/>
      <c r="B59" s="120"/>
      <c r="C59" s="120"/>
      <c r="D59" s="120"/>
      <c r="E59" s="120"/>
      <c r="F59" s="120"/>
      <c r="G59" s="120"/>
    </row>
    <row r="60" spans="1:8" ht="13.5">
      <c r="A60" s="120"/>
      <c r="B60" s="120"/>
      <c r="C60" s="120"/>
      <c r="D60" s="120"/>
      <c r="E60" s="120"/>
      <c r="F60" s="120"/>
      <c r="G60" s="120"/>
    </row>
    <row r="61" spans="1:8" ht="13.5">
      <c r="A61" s="120"/>
      <c r="B61" s="120"/>
      <c r="C61" s="120"/>
      <c r="D61" s="120"/>
      <c r="E61" s="120"/>
      <c r="F61" s="120"/>
      <c r="G61" s="120"/>
    </row>
    <row r="62" spans="1:8" ht="13.5">
      <c r="A62" s="120"/>
      <c r="B62" s="120"/>
      <c r="C62" s="120"/>
      <c r="D62" s="120"/>
      <c r="E62" s="120"/>
      <c r="F62" s="120"/>
      <c r="G62" s="120"/>
    </row>
    <row r="63" spans="1:8" ht="13.5">
      <c r="A63" s="120"/>
      <c r="B63" s="120"/>
      <c r="C63" s="120"/>
      <c r="D63" s="120"/>
      <c r="E63" s="120"/>
      <c r="F63" s="120"/>
      <c r="G63" s="120"/>
    </row>
    <row r="64" spans="1:8" ht="13.5">
      <c r="A64" s="120"/>
      <c r="B64" s="120"/>
      <c r="C64" s="120"/>
      <c r="D64" s="120"/>
      <c r="E64" s="120"/>
      <c r="F64" s="120"/>
      <c r="G64" s="120"/>
    </row>
    <row r="65" spans="1:7" ht="13.5">
      <c r="A65" s="120"/>
      <c r="B65" s="120"/>
      <c r="C65" s="120"/>
      <c r="D65" s="120"/>
      <c r="E65" s="120"/>
      <c r="F65" s="120"/>
      <c r="G65" s="120"/>
    </row>
    <row r="66" spans="1:7" ht="13.5">
      <c r="A66" s="120"/>
      <c r="B66" s="120"/>
      <c r="C66" s="120"/>
      <c r="D66" s="120"/>
      <c r="E66" s="120"/>
      <c r="F66" s="120"/>
      <c r="G66" s="120"/>
    </row>
    <row r="67" spans="1:7" ht="13.5">
      <c r="A67" s="120"/>
      <c r="B67" s="120"/>
      <c r="C67" s="120"/>
      <c r="D67" s="120"/>
      <c r="E67" s="120"/>
      <c r="F67" s="120"/>
      <c r="G67" s="120"/>
    </row>
    <row r="68" spans="1:7" ht="13.5">
      <c r="A68" s="120"/>
      <c r="B68" s="120"/>
      <c r="C68" s="120"/>
      <c r="D68" s="120"/>
      <c r="E68" s="120"/>
      <c r="F68" s="120"/>
      <c r="G68" s="120"/>
    </row>
    <row r="69" spans="1:7" ht="13.5">
      <c r="A69" s="120"/>
      <c r="B69" s="120"/>
      <c r="C69" s="120"/>
      <c r="D69" s="120"/>
      <c r="E69" s="120"/>
      <c r="F69" s="120"/>
      <c r="G69" s="120"/>
    </row>
    <row r="70" spans="1:7" ht="13.5">
      <c r="A70" s="120"/>
      <c r="B70" s="120"/>
      <c r="C70" s="120"/>
      <c r="D70" s="120"/>
      <c r="E70" s="120"/>
      <c r="F70" s="120"/>
      <c r="G70" s="120"/>
    </row>
    <row r="71" spans="1:7" ht="13.5">
      <c r="A71" s="120"/>
      <c r="B71" s="120"/>
      <c r="C71" s="120"/>
      <c r="D71" s="120"/>
      <c r="E71" s="120"/>
      <c r="F71" s="120"/>
      <c r="G71" s="120"/>
    </row>
    <row r="72" spans="1:7" ht="13.5">
      <c r="A72" s="120"/>
      <c r="B72" s="120"/>
      <c r="C72" s="120"/>
      <c r="D72" s="120"/>
      <c r="E72" s="120"/>
      <c r="F72" s="120"/>
      <c r="G72" s="120"/>
    </row>
    <row r="73" spans="1:7" ht="13.5">
      <c r="A73" s="120"/>
      <c r="B73" s="120"/>
      <c r="C73" s="120"/>
      <c r="D73" s="120"/>
      <c r="E73" s="120"/>
      <c r="F73" s="120"/>
      <c r="G73" s="120"/>
    </row>
    <row r="74" spans="1:7" ht="13.5">
      <c r="A74" s="120"/>
      <c r="B74" s="120"/>
      <c r="C74" s="120"/>
      <c r="D74" s="120"/>
      <c r="E74" s="120"/>
      <c r="F74" s="120"/>
      <c r="G74" s="120"/>
    </row>
    <row r="75" spans="1:7" ht="13.5">
      <c r="A75" s="120"/>
      <c r="B75" s="120"/>
      <c r="C75" s="120"/>
      <c r="D75" s="120"/>
      <c r="E75" s="120"/>
      <c r="F75" s="120"/>
      <c r="G75" s="120"/>
    </row>
    <row r="76" spans="1:7" ht="13.5">
      <c r="A76" s="120"/>
      <c r="B76" s="120"/>
      <c r="C76" s="120"/>
      <c r="D76" s="120"/>
      <c r="E76" s="120"/>
      <c r="F76" s="120"/>
      <c r="G76" s="120"/>
    </row>
    <row r="77" spans="1:7" ht="13.5">
      <c r="A77" s="120"/>
      <c r="B77" s="120"/>
      <c r="C77" s="120"/>
      <c r="D77" s="120"/>
      <c r="E77" s="120"/>
      <c r="F77" s="120"/>
      <c r="G77" s="120"/>
    </row>
    <row r="78" spans="1:7" ht="13.5">
      <c r="A78" s="120"/>
      <c r="B78" s="120"/>
      <c r="C78" s="120"/>
      <c r="D78" s="120"/>
      <c r="E78" s="120"/>
      <c r="F78" s="120"/>
      <c r="G78" s="120"/>
    </row>
    <row r="79" spans="1:7" ht="13.5">
      <c r="A79" s="120"/>
      <c r="B79" s="120"/>
      <c r="C79" s="120"/>
      <c r="D79" s="120"/>
      <c r="E79" s="120"/>
      <c r="F79" s="120"/>
      <c r="G79" s="120"/>
    </row>
    <row r="80" spans="1:7" ht="13.5">
      <c r="A80" s="120"/>
      <c r="B80" s="120"/>
      <c r="C80" s="120"/>
      <c r="D80" s="120"/>
      <c r="E80" s="120"/>
      <c r="F80" s="120"/>
      <c r="G80" s="120"/>
    </row>
    <row r="81" spans="1:7" ht="13.5">
      <c r="A81" s="120"/>
      <c r="B81" s="120"/>
      <c r="C81" s="120"/>
      <c r="D81" s="120"/>
      <c r="E81" s="120"/>
      <c r="F81" s="120"/>
      <c r="G81" s="120"/>
    </row>
    <row r="82" spans="1:7" ht="13.5">
      <c r="A82" s="120"/>
      <c r="B82" s="120"/>
      <c r="C82" s="120"/>
      <c r="D82" s="120"/>
      <c r="E82" s="120"/>
      <c r="F82" s="120"/>
      <c r="G82" s="120"/>
    </row>
    <row r="83" spans="1:7" ht="13.5">
      <c r="A83" s="120"/>
      <c r="B83" s="120"/>
      <c r="C83" s="120"/>
      <c r="D83" s="120"/>
      <c r="E83" s="120"/>
      <c r="F83" s="120"/>
      <c r="G83" s="120"/>
    </row>
    <row r="84" spans="1:7" ht="13.5">
      <c r="A84" s="120"/>
      <c r="B84" s="120"/>
      <c r="C84" s="120"/>
      <c r="D84" s="120"/>
      <c r="E84" s="120"/>
      <c r="F84" s="120"/>
      <c r="G84" s="120"/>
    </row>
    <row r="85" spans="1:7" ht="13.5">
      <c r="A85" s="120"/>
      <c r="B85" s="120"/>
      <c r="C85" s="120"/>
      <c r="D85" s="120"/>
      <c r="E85" s="120"/>
      <c r="F85" s="120"/>
      <c r="G85" s="120"/>
    </row>
    <row r="86" spans="1:7" ht="13.5">
      <c r="A86" s="120"/>
      <c r="B86" s="120"/>
      <c r="C86" s="120"/>
      <c r="D86" s="120"/>
      <c r="E86" s="120"/>
      <c r="F86" s="120"/>
      <c r="G86" s="120"/>
    </row>
    <row r="87" spans="1:7" ht="13.5">
      <c r="A87" s="120"/>
      <c r="B87" s="120"/>
      <c r="C87" s="120"/>
      <c r="D87" s="120"/>
      <c r="E87" s="120"/>
      <c r="F87" s="120"/>
      <c r="G87" s="120"/>
    </row>
    <row r="88" spans="1:7" ht="13.5">
      <c r="A88" s="120"/>
      <c r="B88" s="120"/>
      <c r="C88" s="120"/>
      <c r="D88" s="120"/>
      <c r="E88" s="120"/>
      <c r="F88" s="120"/>
      <c r="G88" s="120"/>
    </row>
    <row r="89" spans="1:7" ht="13.5">
      <c r="A89" s="120"/>
      <c r="B89" s="120"/>
      <c r="C89" s="120"/>
      <c r="D89" s="120"/>
      <c r="E89" s="120"/>
      <c r="F89" s="120"/>
      <c r="G89" s="120"/>
    </row>
    <row r="90" spans="1:7" ht="13.5">
      <c r="A90" s="120"/>
      <c r="B90" s="120"/>
      <c r="C90" s="120"/>
      <c r="D90" s="120"/>
      <c r="E90" s="120"/>
      <c r="F90" s="120"/>
      <c r="G90" s="120"/>
    </row>
    <row r="91" spans="1:7" ht="13.5">
      <c r="A91" s="120"/>
      <c r="B91" s="120"/>
      <c r="C91" s="120"/>
      <c r="D91" s="120"/>
      <c r="E91" s="120"/>
      <c r="F91" s="120"/>
      <c r="G91" s="120"/>
    </row>
    <row r="92" spans="1:7" ht="13.5">
      <c r="A92" s="120"/>
      <c r="B92" s="120"/>
      <c r="C92" s="120"/>
      <c r="D92" s="120"/>
      <c r="E92" s="120"/>
      <c r="F92" s="120"/>
      <c r="G92" s="120"/>
    </row>
    <row r="93" spans="1:7" ht="13.5">
      <c r="A93" s="120"/>
      <c r="B93" s="120"/>
      <c r="C93" s="120"/>
      <c r="D93" s="120"/>
      <c r="E93" s="120"/>
      <c r="F93" s="120"/>
      <c r="G93" s="120"/>
    </row>
    <row r="94" spans="1:7" ht="13.5">
      <c r="A94" s="120"/>
      <c r="B94" s="120"/>
      <c r="C94" s="120"/>
      <c r="D94" s="120"/>
      <c r="E94" s="120"/>
      <c r="F94" s="120"/>
      <c r="G94" s="120"/>
    </row>
    <row r="95" spans="1:7" ht="13.5">
      <c r="A95" s="120"/>
      <c r="B95" s="120"/>
      <c r="C95" s="120"/>
      <c r="D95" s="120"/>
      <c r="E95" s="120"/>
      <c r="F95" s="120"/>
      <c r="G95" s="120"/>
    </row>
    <row r="96" spans="1:7" ht="13.5">
      <c r="A96" s="120"/>
      <c r="B96" s="120"/>
      <c r="C96" s="120"/>
      <c r="D96" s="120"/>
      <c r="E96" s="120"/>
      <c r="F96" s="120"/>
      <c r="G96" s="120"/>
    </row>
    <row r="97" spans="1:7" ht="13.5">
      <c r="A97" s="120"/>
      <c r="B97" s="120"/>
      <c r="C97" s="120"/>
      <c r="D97" s="120"/>
      <c r="E97" s="120"/>
      <c r="F97" s="120"/>
      <c r="G97" s="120"/>
    </row>
    <row r="98" spans="1:7" ht="13.5">
      <c r="A98" s="120"/>
      <c r="B98" s="120"/>
      <c r="C98" s="120"/>
      <c r="D98" s="120"/>
      <c r="E98" s="120"/>
      <c r="F98" s="120"/>
      <c r="G98" s="120"/>
    </row>
    <row r="99" spans="1:7" ht="13.5">
      <c r="A99" s="120"/>
      <c r="B99" s="120"/>
      <c r="C99" s="120"/>
      <c r="D99" s="120"/>
      <c r="E99" s="120"/>
      <c r="F99" s="120"/>
      <c r="G99" s="120"/>
    </row>
    <row r="100" spans="1:7" ht="13.5">
      <c r="A100" s="120"/>
      <c r="B100" s="120"/>
      <c r="C100" s="120"/>
      <c r="D100" s="120"/>
      <c r="E100" s="120"/>
      <c r="F100" s="120"/>
      <c r="G100" s="120"/>
    </row>
  </sheetData>
  <mergeCells count="71">
    <mergeCell ref="A52:D52"/>
    <mergeCell ref="A53:D53"/>
    <mergeCell ref="A54:D54"/>
    <mergeCell ref="A55:D55"/>
    <mergeCell ref="A56:D56"/>
    <mergeCell ref="B47:D47"/>
    <mergeCell ref="E47:G47"/>
    <mergeCell ref="A48:E48"/>
    <mergeCell ref="F48:G48"/>
    <mergeCell ref="A50:C50"/>
    <mergeCell ref="B40:C41"/>
    <mergeCell ref="E40:E41"/>
    <mergeCell ref="F40:F41"/>
    <mergeCell ref="G40:G41"/>
    <mergeCell ref="A51:D51"/>
    <mergeCell ref="B42:C42"/>
    <mergeCell ref="B43:D43"/>
    <mergeCell ref="E43:G43"/>
    <mergeCell ref="A44:A46"/>
    <mergeCell ref="B44:C44"/>
    <mergeCell ref="B45:C45"/>
    <mergeCell ref="B46:C46"/>
    <mergeCell ref="A34:A42"/>
    <mergeCell ref="B34:C35"/>
    <mergeCell ref="E34:E35"/>
    <mergeCell ref="F34:F35"/>
    <mergeCell ref="G36:G37"/>
    <mergeCell ref="B38:C39"/>
    <mergeCell ref="B31:C31"/>
    <mergeCell ref="A32:A33"/>
    <mergeCell ref="B32:C33"/>
    <mergeCell ref="E32:E33"/>
    <mergeCell ref="F32:F33"/>
    <mergeCell ref="G32:G33"/>
    <mergeCell ref="E38:E39"/>
    <mergeCell ref="F38:F39"/>
    <mergeCell ref="G38:G39"/>
    <mergeCell ref="G34:G35"/>
    <mergeCell ref="B36:C37"/>
    <mergeCell ref="E36:E37"/>
    <mergeCell ref="F36:F37"/>
    <mergeCell ref="A24:C24"/>
    <mergeCell ref="A25:B28"/>
    <mergeCell ref="A29:D29"/>
    <mergeCell ref="F29:G29"/>
    <mergeCell ref="B30:D30"/>
    <mergeCell ref="E30:G30"/>
    <mergeCell ref="A16:A17"/>
    <mergeCell ref="B16:C17"/>
    <mergeCell ref="D16:D17"/>
    <mergeCell ref="E16:E17"/>
    <mergeCell ref="F16:G16"/>
    <mergeCell ref="A18:A23"/>
    <mergeCell ref="B18:C23"/>
    <mergeCell ref="E18:E23"/>
    <mergeCell ref="F18:F23"/>
    <mergeCell ref="G18:G23"/>
    <mergeCell ref="F11:G11"/>
    <mergeCell ref="A12:A15"/>
    <mergeCell ref="B12:C12"/>
    <mergeCell ref="E12:G14"/>
    <mergeCell ref="B13:C13"/>
    <mergeCell ref="B14:C14"/>
    <mergeCell ref="B15:C15"/>
    <mergeCell ref="D15:G15"/>
    <mergeCell ref="A10:F10"/>
    <mergeCell ref="A2:G3"/>
    <mergeCell ref="B4:C4"/>
    <mergeCell ref="E4:G4"/>
    <mergeCell ref="A5:C5"/>
    <mergeCell ref="A7:E7"/>
  </mergeCells>
  <phoneticPr fontId="1" type="noConversion"/>
  <printOptions horizontalCentered="1" verticalCentered="1"/>
  <pageMargins left="0.39370078740157483" right="0.39370078740157483" top="0.59055118110236227" bottom="0.70866141732283472" header="0.19685039370078741" footer="0.39370078740157483"/>
  <pageSetup paperSize="9" scale="40" orientation="portrait" r:id="rId1"/>
  <headerFooter>
    <oddFooter>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tabSelected="1" zoomScale="80" zoomScaleNormal="80" workbookViewId="0">
      <selection activeCell="O30" sqref="O30"/>
    </sheetView>
  </sheetViews>
  <sheetFormatPr defaultRowHeight="16.5"/>
  <cols>
    <col min="1" max="1" width="6.75" style="1" customWidth="1"/>
    <col min="2" max="2" width="22.375" style="1" bestFit="1" customWidth="1"/>
    <col min="3" max="3" width="10.5" style="1" customWidth="1"/>
    <col min="4" max="4" width="7" style="1" customWidth="1"/>
    <col min="5" max="9" width="7.5" customWidth="1"/>
    <col min="10" max="11" width="6.875" customWidth="1"/>
    <col min="12" max="12" width="12.375" bestFit="1" customWidth="1"/>
    <col min="13" max="14" width="15" customWidth="1"/>
    <col min="15" max="15" width="12.125" customWidth="1"/>
    <col min="16" max="18" width="13.25" customWidth="1"/>
    <col min="19" max="19" width="13.375" customWidth="1"/>
    <col min="20" max="20" width="11.375" customWidth="1"/>
    <col min="21" max="21" width="9.5" customWidth="1"/>
    <col min="22" max="22" width="11" customWidth="1"/>
    <col min="23" max="23" width="14.375" customWidth="1"/>
    <col min="24" max="24" width="9" customWidth="1"/>
    <col min="25" max="25" width="13.625" bestFit="1" customWidth="1"/>
    <col min="26" max="26" width="12.875" customWidth="1"/>
    <col min="27" max="27" width="12.375" bestFit="1" customWidth="1"/>
  </cols>
  <sheetData>
    <row r="1" spans="1:24">
      <c r="A1" s="235" t="s">
        <v>12</v>
      </c>
      <c r="B1" s="236" t="s">
        <v>14</v>
      </c>
      <c r="C1" s="36"/>
      <c r="D1" s="236" t="s">
        <v>13</v>
      </c>
      <c r="E1" s="238" t="s">
        <v>123</v>
      </c>
      <c r="F1" s="239"/>
      <c r="G1" s="238" t="s">
        <v>124</v>
      </c>
      <c r="H1" s="238"/>
      <c r="I1" s="239"/>
      <c r="J1" s="235" t="s">
        <v>7</v>
      </c>
      <c r="K1" s="236" t="s">
        <v>53</v>
      </c>
      <c r="L1" s="235" t="s">
        <v>41</v>
      </c>
      <c r="M1" s="235" t="s">
        <v>42</v>
      </c>
      <c r="N1" s="48"/>
      <c r="O1" s="48"/>
      <c r="P1" s="48"/>
      <c r="Q1" s="48"/>
      <c r="R1" s="48"/>
      <c r="S1" s="43" t="s">
        <v>43</v>
      </c>
      <c r="T1" s="49" t="s">
        <v>45</v>
      </c>
      <c r="U1" s="35" t="s">
        <v>45</v>
      </c>
      <c r="V1" s="35" t="s">
        <v>45</v>
      </c>
      <c r="W1" s="35" t="s">
        <v>45</v>
      </c>
      <c r="X1" s="44" t="s">
        <v>45</v>
      </c>
    </row>
    <row r="2" spans="1:24">
      <c r="A2" s="235"/>
      <c r="B2" s="237"/>
      <c r="C2" s="37"/>
      <c r="D2" s="237"/>
      <c r="E2" s="2" t="s">
        <v>125</v>
      </c>
      <c r="F2" s="2" t="s">
        <v>0</v>
      </c>
      <c r="G2" s="2" t="s">
        <v>1</v>
      </c>
      <c r="H2" s="2" t="s">
        <v>2</v>
      </c>
      <c r="I2" s="2" t="s">
        <v>3</v>
      </c>
      <c r="J2" s="235"/>
      <c r="K2" s="237"/>
      <c r="L2" s="235"/>
      <c r="M2" s="235"/>
      <c r="N2" s="42">
        <v>0.2</v>
      </c>
      <c r="O2" s="42">
        <v>0.3</v>
      </c>
      <c r="P2" s="42">
        <v>0.35</v>
      </c>
      <c r="Q2" s="42">
        <v>0.4</v>
      </c>
      <c r="R2" s="42">
        <v>0.45</v>
      </c>
      <c r="S2" s="43" t="s">
        <v>44</v>
      </c>
      <c r="T2" s="43" t="s">
        <v>54</v>
      </c>
      <c r="U2" s="43" t="s">
        <v>46</v>
      </c>
      <c r="V2" s="43" t="s">
        <v>47</v>
      </c>
      <c r="W2" s="43" t="s">
        <v>48</v>
      </c>
      <c r="X2" s="43" t="s">
        <v>49</v>
      </c>
    </row>
    <row r="3" spans="1:24">
      <c r="A3" s="4" t="s">
        <v>4</v>
      </c>
      <c r="B3" s="7" t="s">
        <v>15</v>
      </c>
      <c r="C3" s="7"/>
      <c r="D3" s="6" t="s">
        <v>16</v>
      </c>
      <c r="E3" s="3">
        <v>1</v>
      </c>
      <c r="F3" s="3">
        <v>1</v>
      </c>
      <c r="G3" s="3">
        <v>1</v>
      </c>
      <c r="H3" s="3">
        <v>1</v>
      </c>
      <c r="I3" s="38">
        <v>1</v>
      </c>
      <c r="J3" s="39">
        <f>SUM(E3:I3)</f>
        <v>5</v>
      </c>
      <c r="K3" s="39">
        <f>J3/11*100</f>
        <v>45.454545454545453</v>
      </c>
      <c r="L3" s="31">
        <f>VLOOKUP(D3,단가!$A$8:$G$12,7,0)</f>
        <v>19770000</v>
      </c>
      <c r="M3" s="32">
        <f>J3*L3</f>
        <v>98850000</v>
      </c>
      <c r="N3" s="33">
        <f t="shared" ref="N3:R4" si="0">$M3*(100%-N$2)</f>
        <v>79080000</v>
      </c>
      <c r="O3" s="33">
        <f t="shared" si="0"/>
        <v>69195000</v>
      </c>
      <c r="P3" s="33">
        <f t="shared" si="0"/>
        <v>64252500</v>
      </c>
      <c r="Q3" s="33">
        <f t="shared" si="0"/>
        <v>59310000</v>
      </c>
      <c r="R3" s="33">
        <f t="shared" si="0"/>
        <v>54367500.000000007</v>
      </c>
      <c r="S3" s="31">
        <f>J3*VLOOKUP(D3,단가!$A$8:$H$12,8,0)</f>
        <v>40000000</v>
      </c>
      <c r="T3" s="46">
        <f t="shared" ref="T3:T13" si="1">(N3-$S3)/$S3*100</f>
        <v>97.7</v>
      </c>
      <c r="U3" s="46">
        <f t="shared" ref="U3:U13" si="2">(O3-$S3)/$S3*100</f>
        <v>72.987500000000011</v>
      </c>
      <c r="V3" s="46">
        <f t="shared" ref="V3:V13" si="3">(P3-$S3)/$S3*100</f>
        <v>60.631250000000001</v>
      </c>
      <c r="W3" s="46">
        <f t="shared" ref="W3:W13" si="4">(Q3-$S3)/$S3*100</f>
        <v>48.274999999999999</v>
      </c>
      <c r="X3" s="46">
        <f t="shared" ref="X3:X13" si="5">(R3-$S3)/$S3*100</f>
        <v>35.918750000000017</v>
      </c>
    </row>
    <row r="4" spans="1:24">
      <c r="A4" s="4" t="s">
        <v>9</v>
      </c>
      <c r="B4" s="7" t="s">
        <v>18</v>
      </c>
      <c r="C4" s="7"/>
      <c r="D4" s="6" t="s">
        <v>11</v>
      </c>
      <c r="E4" s="3"/>
      <c r="F4" s="3"/>
      <c r="G4" s="3"/>
      <c r="H4" s="3"/>
      <c r="I4" s="38"/>
      <c r="J4" s="39">
        <f>SUM(E4:I4)</f>
        <v>0</v>
      </c>
      <c r="K4" s="39">
        <f t="shared" ref="K4:K11" si="6">J4/11*100</f>
        <v>0</v>
      </c>
      <c r="L4" s="31">
        <f>VLOOKUP(D4,단가!$A$8:$G$12,7,0)</f>
        <v>11715000</v>
      </c>
      <c r="M4" s="32">
        <f>J4*L4</f>
        <v>0</v>
      </c>
      <c r="N4" s="33">
        <f t="shared" si="0"/>
        <v>0</v>
      </c>
      <c r="O4" s="33">
        <f t="shared" si="0"/>
        <v>0</v>
      </c>
      <c r="P4" s="33">
        <f t="shared" si="0"/>
        <v>0</v>
      </c>
      <c r="Q4" s="33">
        <f t="shared" si="0"/>
        <v>0</v>
      </c>
      <c r="R4" s="33">
        <f t="shared" si="0"/>
        <v>0</v>
      </c>
      <c r="S4" s="31">
        <f>J4*VLOOKUP(D4,단가!$A$8:$H$12,8,0)</f>
        <v>0</v>
      </c>
      <c r="T4" s="46" t="e">
        <f t="shared" si="1"/>
        <v>#DIV/0!</v>
      </c>
      <c r="U4" s="46" t="e">
        <f t="shared" si="2"/>
        <v>#DIV/0!</v>
      </c>
      <c r="V4" s="46" t="e">
        <f t="shared" si="3"/>
        <v>#DIV/0!</v>
      </c>
      <c r="W4" s="46" t="e">
        <f t="shared" si="4"/>
        <v>#DIV/0!</v>
      </c>
      <c r="X4" s="46" t="e">
        <f t="shared" si="5"/>
        <v>#DIV/0!</v>
      </c>
    </row>
    <row r="5" spans="1:24">
      <c r="A5" s="231" t="s">
        <v>8</v>
      </c>
      <c r="B5" s="232"/>
      <c r="C5" s="2"/>
      <c r="D5" s="2"/>
      <c r="E5" s="40">
        <f t="shared" ref="E5:J5" si="7">SUM(E3:E4)</f>
        <v>1</v>
      </c>
      <c r="F5" s="40">
        <f t="shared" si="7"/>
        <v>1</v>
      </c>
      <c r="G5" s="40">
        <f t="shared" si="7"/>
        <v>1</v>
      </c>
      <c r="H5" s="40">
        <f t="shared" si="7"/>
        <v>1</v>
      </c>
      <c r="I5" s="40">
        <f t="shared" si="7"/>
        <v>1</v>
      </c>
      <c r="J5" s="40">
        <f t="shared" si="7"/>
        <v>5</v>
      </c>
      <c r="K5" s="40"/>
      <c r="L5" s="33"/>
      <c r="M5" s="33">
        <f t="shared" ref="M5:S5" si="8">SUM(M3:M4)</f>
        <v>98850000</v>
      </c>
      <c r="N5" s="33">
        <f t="shared" si="8"/>
        <v>79080000</v>
      </c>
      <c r="O5" s="33">
        <f t="shared" si="8"/>
        <v>69195000</v>
      </c>
      <c r="P5" s="33">
        <f t="shared" si="8"/>
        <v>64252500</v>
      </c>
      <c r="Q5" s="33">
        <f t="shared" si="8"/>
        <v>59310000</v>
      </c>
      <c r="R5" s="33">
        <f t="shared" si="8"/>
        <v>54367500.000000007</v>
      </c>
      <c r="S5" s="33">
        <f t="shared" si="8"/>
        <v>40000000</v>
      </c>
      <c r="T5" s="33">
        <f t="shared" si="1"/>
        <v>97.7</v>
      </c>
      <c r="U5" s="33">
        <f t="shared" si="2"/>
        <v>72.987500000000011</v>
      </c>
      <c r="V5" s="33">
        <f t="shared" si="3"/>
        <v>60.631250000000001</v>
      </c>
      <c r="W5" s="33">
        <f t="shared" si="4"/>
        <v>48.274999999999999</v>
      </c>
      <c r="X5" s="33">
        <f t="shared" si="5"/>
        <v>35.918750000000017</v>
      </c>
    </row>
    <row r="6" spans="1:24" ht="17.25">
      <c r="A6" s="4" t="s">
        <v>5</v>
      </c>
      <c r="B6" s="50" t="s">
        <v>132</v>
      </c>
      <c r="C6" s="7"/>
      <c r="D6" s="6" t="s">
        <v>129</v>
      </c>
      <c r="E6" s="3">
        <v>1</v>
      </c>
      <c r="F6" s="3">
        <v>1</v>
      </c>
      <c r="G6" s="3">
        <v>1</v>
      </c>
      <c r="H6" s="3">
        <v>1</v>
      </c>
      <c r="I6" s="38">
        <v>1</v>
      </c>
      <c r="J6" s="39">
        <f t="shared" ref="J6:J11" si="9">SUM(E6:I6)</f>
        <v>5</v>
      </c>
      <c r="K6" s="39">
        <f t="shared" si="6"/>
        <v>45.454545454545453</v>
      </c>
      <c r="L6" s="31">
        <f>VLOOKUP(D6,단가!$A$8:$G$12,7,0)</f>
        <v>11715000</v>
      </c>
      <c r="M6" s="32">
        <f t="shared" ref="M6:M11" si="10">J6*L6</f>
        <v>58575000</v>
      </c>
      <c r="N6" s="33">
        <f t="shared" ref="N6:R11" si="11">$M6*(100%-N$2)</f>
        <v>46860000</v>
      </c>
      <c r="O6" s="33">
        <f t="shared" si="11"/>
        <v>41002500</v>
      </c>
      <c r="P6" s="33">
        <f t="shared" si="11"/>
        <v>38073750</v>
      </c>
      <c r="Q6" s="33">
        <f t="shared" si="11"/>
        <v>35145000</v>
      </c>
      <c r="R6" s="33">
        <f t="shared" si="11"/>
        <v>32216250.000000004</v>
      </c>
      <c r="S6" s="31">
        <f>J6*VLOOKUP(D6,단가!$A$8:$H$12,8,0)</f>
        <v>30000000</v>
      </c>
      <c r="T6" s="46">
        <f t="shared" si="1"/>
        <v>56.2</v>
      </c>
      <c r="U6" s="46">
        <f t="shared" si="2"/>
        <v>36.675000000000004</v>
      </c>
      <c r="V6" s="46">
        <f t="shared" si="3"/>
        <v>26.912500000000001</v>
      </c>
      <c r="W6" s="46">
        <f t="shared" si="4"/>
        <v>17.150000000000002</v>
      </c>
      <c r="X6" s="46">
        <f t="shared" si="5"/>
        <v>7.3875000000000117</v>
      </c>
    </row>
    <row r="7" spans="1:24" ht="17.25">
      <c r="A7" s="4"/>
      <c r="B7" s="50"/>
      <c r="C7" s="7"/>
      <c r="D7" s="6" t="s">
        <v>129</v>
      </c>
      <c r="E7" s="3"/>
      <c r="F7" s="3"/>
      <c r="G7" s="3"/>
      <c r="H7" s="3"/>
      <c r="I7" s="38"/>
      <c r="J7" s="39">
        <f t="shared" si="9"/>
        <v>0</v>
      </c>
      <c r="K7" s="39">
        <f t="shared" si="6"/>
        <v>0</v>
      </c>
      <c r="L7" s="31">
        <f>VLOOKUP(D7,단가!$A$8:$G$12,7,0)</f>
        <v>11715000</v>
      </c>
      <c r="M7" s="32">
        <f t="shared" si="10"/>
        <v>0</v>
      </c>
      <c r="N7" s="33">
        <f t="shared" si="11"/>
        <v>0</v>
      </c>
      <c r="O7" s="33">
        <f t="shared" si="11"/>
        <v>0</v>
      </c>
      <c r="P7" s="33">
        <f t="shared" si="11"/>
        <v>0</v>
      </c>
      <c r="Q7" s="33">
        <f t="shared" si="11"/>
        <v>0</v>
      </c>
      <c r="R7" s="33">
        <f t="shared" si="11"/>
        <v>0</v>
      </c>
      <c r="S7" s="31">
        <f>J7*VLOOKUP(D7,단가!$A$8:$H$12,8,0)</f>
        <v>0</v>
      </c>
      <c r="T7" s="46" t="e">
        <f t="shared" si="1"/>
        <v>#DIV/0!</v>
      </c>
      <c r="U7" s="46" t="e">
        <f t="shared" si="2"/>
        <v>#DIV/0!</v>
      </c>
      <c r="V7" s="46" t="e">
        <f t="shared" si="3"/>
        <v>#DIV/0!</v>
      </c>
      <c r="W7" s="46" t="e">
        <f t="shared" si="4"/>
        <v>#DIV/0!</v>
      </c>
      <c r="X7" s="46" t="e">
        <f t="shared" si="5"/>
        <v>#DIV/0!</v>
      </c>
    </row>
    <row r="8" spans="1:24" ht="17.25">
      <c r="A8" s="4" t="s">
        <v>6</v>
      </c>
      <c r="B8" s="51" t="s">
        <v>130</v>
      </c>
      <c r="C8" s="7"/>
      <c r="D8" s="6" t="s">
        <v>131</v>
      </c>
      <c r="E8" s="3"/>
      <c r="F8" s="3">
        <v>0.5</v>
      </c>
      <c r="G8" s="3">
        <v>1</v>
      </c>
      <c r="H8" s="3">
        <v>1</v>
      </c>
      <c r="I8" s="38">
        <v>1</v>
      </c>
      <c r="J8" s="39">
        <f t="shared" si="9"/>
        <v>3.5</v>
      </c>
      <c r="K8" s="39">
        <f t="shared" si="6"/>
        <v>31.818181818181817</v>
      </c>
      <c r="L8" s="31">
        <f>VLOOKUP(D8,단가!$A$8:$G$12,7,0)</f>
        <v>11715000</v>
      </c>
      <c r="M8" s="32">
        <f t="shared" si="10"/>
        <v>41002500</v>
      </c>
      <c r="N8" s="33">
        <f t="shared" si="11"/>
        <v>32802000</v>
      </c>
      <c r="O8" s="33">
        <f t="shared" si="11"/>
        <v>28701750</v>
      </c>
      <c r="P8" s="33">
        <f t="shared" si="11"/>
        <v>26651625</v>
      </c>
      <c r="Q8" s="33">
        <f t="shared" si="11"/>
        <v>24601500</v>
      </c>
      <c r="R8" s="33">
        <f t="shared" si="11"/>
        <v>22551375</v>
      </c>
      <c r="S8" s="31">
        <f>J8*VLOOKUP(D8,단가!$A$8:$H$12,8,0)</f>
        <v>21000000</v>
      </c>
      <c r="T8" s="46">
        <f t="shared" si="1"/>
        <v>56.2</v>
      </c>
      <c r="U8" s="46">
        <f t="shared" si="2"/>
        <v>36.675000000000004</v>
      </c>
      <c r="V8" s="46">
        <f t="shared" si="3"/>
        <v>26.912500000000001</v>
      </c>
      <c r="W8" s="46">
        <f t="shared" si="4"/>
        <v>17.150000000000002</v>
      </c>
      <c r="X8" s="46">
        <f t="shared" si="5"/>
        <v>7.3874999999999993</v>
      </c>
    </row>
    <row r="9" spans="1:24" ht="17.25">
      <c r="A9" s="4" t="s">
        <v>6</v>
      </c>
      <c r="B9" s="50" t="s">
        <v>50</v>
      </c>
      <c r="C9" s="7"/>
      <c r="D9" s="7" t="s">
        <v>126</v>
      </c>
      <c r="E9" s="3"/>
      <c r="F9" s="3"/>
      <c r="G9" s="3">
        <v>1</v>
      </c>
      <c r="H9" s="3">
        <v>1</v>
      </c>
      <c r="I9" s="38">
        <v>1</v>
      </c>
      <c r="J9" s="39">
        <f t="shared" si="9"/>
        <v>3</v>
      </c>
      <c r="K9" s="39">
        <f t="shared" si="6"/>
        <v>27.27272727272727</v>
      </c>
      <c r="L9" s="31">
        <f>VLOOKUP(D9,단가!$A$8:$G$12,7,0)</f>
        <v>10096000</v>
      </c>
      <c r="M9" s="32">
        <f t="shared" si="10"/>
        <v>30288000</v>
      </c>
      <c r="N9" s="33">
        <f t="shared" si="11"/>
        <v>24230400</v>
      </c>
      <c r="O9" s="33">
        <f t="shared" si="11"/>
        <v>21201600</v>
      </c>
      <c r="P9" s="33">
        <f t="shared" si="11"/>
        <v>19687200</v>
      </c>
      <c r="Q9" s="33">
        <f t="shared" si="11"/>
        <v>18172800</v>
      </c>
      <c r="R9" s="33">
        <f t="shared" si="11"/>
        <v>16658400.000000002</v>
      </c>
      <c r="S9" s="31">
        <f>J9*VLOOKUP(D9,단가!$A$8:$H$12,8,0)</f>
        <v>15000000</v>
      </c>
      <c r="T9" s="46">
        <f t="shared" si="1"/>
        <v>61.536000000000001</v>
      </c>
      <c r="U9" s="46">
        <f t="shared" si="2"/>
        <v>41.343999999999994</v>
      </c>
      <c r="V9" s="46">
        <f t="shared" si="3"/>
        <v>31.247999999999998</v>
      </c>
      <c r="W9" s="46">
        <f t="shared" si="4"/>
        <v>21.152000000000001</v>
      </c>
      <c r="X9" s="46">
        <f t="shared" si="5"/>
        <v>11.056000000000013</v>
      </c>
    </row>
    <row r="10" spans="1:24" ht="17.25">
      <c r="A10" s="7" t="s">
        <v>6</v>
      </c>
      <c r="B10" s="50" t="s">
        <v>51</v>
      </c>
      <c r="C10" s="7"/>
      <c r="D10" s="7" t="s">
        <v>131</v>
      </c>
      <c r="E10" s="3"/>
      <c r="F10" s="3"/>
      <c r="G10" s="3">
        <v>1</v>
      </c>
      <c r="H10" s="3">
        <v>1</v>
      </c>
      <c r="I10" s="38">
        <v>1</v>
      </c>
      <c r="J10" s="39">
        <f t="shared" si="9"/>
        <v>3</v>
      </c>
      <c r="K10" s="39">
        <f t="shared" si="6"/>
        <v>27.27272727272727</v>
      </c>
      <c r="L10" s="31">
        <f>VLOOKUP(D10,단가!$A$8:$G$12,7,0)</f>
        <v>11715000</v>
      </c>
      <c r="M10" s="32">
        <f t="shared" ref="M10" si="12">J10*L10</f>
        <v>35145000</v>
      </c>
      <c r="N10" s="33">
        <f t="shared" si="11"/>
        <v>28116000</v>
      </c>
      <c r="O10" s="33">
        <f t="shared" si="11"/>
        <v>24601500</v>
      </c>
      <c r="P10" s="33">
        <f t="shared" si="11"/>
        <v>22844250</v>
      </c>
      <c r="Q10" s="33">
        <f t="shared" si="11"/>
        <v>21087000</v>
      </c>
      <c r="R10" s="33">
        <f t="shared" si="11"/>
        <v>19329750</v>
      </c>
      <c r="S10" s="31">
        <f>J10*VLOOKUP(D10,단가!$A$8:$H$12,8,0)</f>
        <v>18000000</v>
      </c>
      <c r="T10" s="46">
        <f t="shared" si="1"/>
        <v>56.2</v>
      </c>
      <c r="U10" s="46">
        <f t="shared" si="2"/>
        <v>36.675000000000004</v>
      </c>
      <c r="V10" s="46">
        <f t="shared" si="3"/>
        <v>26.912500000000001</v>
      </c>
      <c r="W10" s="46">
        <f t="shared" si="4"/>
        <v>17.150000000000002</v>
      </c>
      <c r="X10" s="46">
        <f t="shared" si="5"/>
        <v>7.3874999999999993</v>
      </c>
    </row>
    <row r="11" spans="1:24" ht="17.25">
      <c r="A11" s="4" t="s">
        <v>17</v>
      </c>
      <c r="B11" s="50" t="s">
        <v>52</v>
      </c>
      <c r="C11" s="7"/>
      <c r="D11" s="6" t="s">
        <v>19</v>
      </c>
      <c r="E11" s="3"/>
      <c r="F11" s="3"/>
      <c r="G11" s="3">
        <v>1</v>
      </c>
      <c r="H11" s="3">
        <v>1</v>
      </c>
      <c r="I11" s="38">
        <v>1</v>
      </c>
      <c r="J11" s="39">
        <f t="shared" si="9"/>
        <v>3</v>
      </c>
      <c r="K11" s="39">
        <f t="shared" si="6"/>
        <v>27.27272727272727</v>
      </c>
      <c r="L11" s="31">
        <f>VLOOKUP(D11,단가!$A$8:$G$12,7,0)</f>
        <v>11715000</v>
      </c>
      <c r="M11" s="32">
        <f t="shared" si="10"/>
        <v>35145000</v>
      </c>
      <c r="N11" s="33">
        <f t="shared" si="11"/>
        <v>28116000</v>
      </c>
      <c r="O11" s="33">
        <f t="shared" si="11"/>
        <v>24601500</v>
      </c>
      <c r="P11" s="33">
        <f t="shared" si="11"/>
        <v>22844250</v>
      </c>
      <c r="Q11" s="33">
        <f t="shared" si="11"/>
        <v>21087000</v>
      </c>
      <c r="R11" s="33">
        <f t="shared" si="11"/>
        <v>19329750</v>
      </c>
      <c r="S11" s="31">
        <f>J11*VLOOKUP(D11,단가!$A$8:$H$12,8,0)</f>
        <v>18000000</v>
      </c>
      <c r="T11" s="46">
        <f t="shared" si="1"/>
        <v>56.2</v>
      </c>
      <c r="U11" s="46">
        <f t="shared" si="2"/>
        <v>36.675000000000004</v>
      </c>
      <c r="V11" s="46">
        <f t="shared" si="3"/>
        <v>26.912500000000001</v>
      </c>
      <c r="W11" s="46">
        <f t="shared" si="4"/>
        <v>17.150000000000002</v>
      </c>
      <c r="X11" s="46">
        <f t="shared" si="5"/>
        <v>7.3874999999999993</v>
      </c>
    </row>
    <row r="12" spans="1:24">
      <c r="A12" s="231" t="s">
        <v>8</v>
      </c>
      <c r="B12" s="232"/>
      <c r="C12" s="2"/>
      <c r="D12" s="2"/>
      <c r="E12" s="40">
        <f>SUM(E6:E11)</f>
        <v>1</v>
      </c>
      <c r="F12" s="40">
        <f>SUM(F6:F11)</f>
        <v>1.5</v>
      </c>
      <c r="G12" s="40">
        <f>SUM(G6:G11)</f>
        <v>5</v>
      </c>
      <c r="H12" s="40">
        <f>SUM(H6:H11)</f>
        <v>5</v>
      </c>
      <c r="I12" s="40">
        <f>SUM(I6:I11)</f>
        <v>5</v>
      </c>
      <c r="J12" s="40">
        <f>SUM(J6:J11)</f>
        <v>17.5</v>
      </c>
      <c r="K12" s="40"/>
      <c r="L12" s="33"/>
      <c r="M12" s="33">
        <f>SUM(M6:M11)</f>
        <v>200155500</v>
      </c>
      <c r="N12" s="33">
        <f>SUM(N6:N11)</f>
        <v>160124400</v>
      </c>
      <c r="O12" s="33">
        <f>SUM(O6:O11)</f>
        <v>140108850</v>
      </c>
      <c r="P12" s="33">
        <f>SUM(P6:P11)</f>
        <v>130101075</v>
      </c>
      <c r="Q12" s="33">
        <f>SUM(Q6:Q11)</f>
        <v>120093300</v>
      </c>
      <c r="R12" s="33">
        <f>SUM(R6:R11)</f>
        <v>110085525</v>
      </c>
      <c r="S12" s="33">
        <f>SUM(S6:S11)</f>
        <v>102000000</v>
      </c>
      <c r="T12" s="33">
        <f t="shared" si="1"/>
        <v>56.984705882352941</v>
      </c>
      <c r="U12" s="33">
        <f t="shared" si="2"/>
        <v>37.361617647058829</v>
      </c>
      <c r="V12" s="33">
        <f t="shared" si="3"/>
        <v>27.550073529411769</v>
      </c>
      <c r="W12" s="33">
        <f t="shared" si="4"/>
        <v>17.738529411764706</v>
      </c>
      <c r="X12" s="33">
        <f t="shared" si="5"/>
        <v>7.9269852941176469</v>
      </c>
    </row>
    <row r="13" spans="1:24">
      <c r="A13" s="233" t="s">
        <v>10</v>
      </c>
      <c r="B13" s="234"/>
      <c r="C13" s="5"/>
      <c r="D13" s="5"/>
      <c r="E13" s="41">
        <f>E5+E12</f>
        <v>2</v>
      </c>
      <c r="F13" s="41">
        <f>F5+F12</f>
        <v>2.5</v>
      </c>
      <c r="G13" s="41">
        <f>G5+G12</f>
        <v>6</v>
      </c>
      <c r="H13" s="41">
        <f>H5+H12</f>
        <v>6</v>
      </c>
      <c r="I13" s="41">
        <f>I5+I12</f>
        <v>6</v>
      </c>
      <c r="J13" s="41">
        <f>J5+J12</f>
        <v>22.5</v>
      </c>
      <c r="K13" s="41"/>
      <c r="L13" s="34"/>
      <c r="M13" s="34">
        <f>M5+M12</f>
        <v>299005500</v>
      </c>
      <c r="N13" s="34">
        <f>N5+N12</f>
        <v>239204400</v>
      </c>
      <c r="O13" s="34">
        <f>O5+O12</f>
        <v>209303850</v>
      </c>
      <c r="P13" s="34">
        <f>P5+P12</f>
        <v>194353575</v>
      </c>
      <c r="Q13" s="34">
        <f>Q5+Q12</f>
        <v>179403300</v>
      </c>
      <c r="R13" s="34">
        <f>R5+R12</f>
        <v>164453025</v>
      </c>
      <c r="S13" s="34">
        <f>S5+S12</f>
        <v>142000000</v>
      </c>
      <c r="T13" s="34">
        <f t="shared" si="1"/>
        <v>68.453802816901415</v>
      </c>
      <c r="U13" s="34">
        <f t="shared" si="2"/>
        <v>47.397077464788737</v>
      </c>
      <c r="V13" s="34">
        <f t="shared" si="3"/>
        <v>36.86871478873239</v>
      </c>
      <c r="W13" s="34">
        <f t="shared" si="4"/>
        <v>26.340352112676058</v>
      </c>
      <c r="X13" s="34">
        <f t="shared" si="5"/>
        <v>15.811989436619719</v>
      </c>
    </row>
    <row r="14" spans="1:24">
      <c r="O14" s="47">
        <f>N13-O13</f>
        <v>29900550</v>
      </c>
      <c r="P14" s="47">
        <f>O13-P13</f>
        <v>14950275</v>
      </c>
      <c r="Q14" s="47">
        <f>P13-Q13</f>
        <v>14950275</v>
      </c>
      <c r="R14" s="47">
        <f>Q13-R13</f>
        <v>14950275</v>
      </c>
    </row>
    <row r="15" spans="1:24">
      <c r="J15" s="45"/>
      <c r="K15" s="45"/>
    </row>
    <row r="17" spans="22:22">
      <c r="V17" s="47"/>
    </row>
  </sheetData>
  <autoFilter ref="A2:AM13"/>
  <mergeCells count="12">
    <mergeCell ref="A5:B5"/>
    <mergeCell ref="A12:B12"/>
    <mergeCell ref="A13:B13"/>
    <mergeCell ref="M1:M2"/>
    <mergeCell ref="J1:J2"/>
    <mergeCell ref="A1:A2"/>
    <mergeCell ref="D1:D2"/>
    <mergeCell ref="B1:B2"/>
    <mergeCell ref="L1:L2"/>
    <mergeCell ref="E1:F1"/>
    <mergeCell ref="G1:I1"/>
    <mergeCell ref="K1:K2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4"/>
  <sheetViews>
    <sheetView topLeftCell="A4" workbookViewId="0">
      <selection activeCell="H12" sqref="H12"/>
    </sheetView>
  </sheetViews>
  <sheetFormatPr defaultColWidth="9" defaultRowHeight="12"/>
  <cols>
    <col min="1" max="1" width="13.25" style="9" customWidth="1"/>
    <col min="2" max="2" width="11.75" style="9" customWidth="1"/>
    <col min="3" max="3" width="10.25" style="9" customWidth="1"/>
    <col min="4" max="5" width="13.25" style="9" customWidth="1"/>
    <col min="6" max="6" width="13.25" style="8" customWidth="1"/>
    <col min="7" max="7" width="14.75" style="12" customWidth="1"/>
    <col min="8" max="8" width="9.125" style="8" customWidth="1"/>
    <col min="9" max="9" width="8.125" style="9" bestFit="1" customWidth="1"/>
    <col min="10" max="10" width="9.625" style="9" bestFit="1" customWidth="1"/>
    <col min="11" max="16" width="8.125" style="9" bestFit="1" customWidth="1"/>
    <col min="17" max="256" width="9" style="9"/>
    <col min="257" max="257" width="13.25" style="9" customWidth="1"/>
    <col min="258" max="258" width="11.75" style="9" customWidth="1"/>
    <col min="259" max="259" width="10.25" style="9" customWidth="1"/>
    <col min="260" max="262" width="13.25" style="9" customWidth="1"/>
    <col min="263" max="263" width="14.75" style="9" customWidth="1"/>
    <col min="264" max="264" width="8.375" style="9" customWidth="1"/>
    <col min="265" max="265" width="8.125" style="9" bestFit="1" customWidth="1"/>
    <col min="266" max="266" width="9.625" style="9" bestFit="1" customWidth="1"/>
    <col min="267" max="272" width="8.125" style="9" bestFit="1" customWidth="1"/>
    <col min="273" max="512" width="9" style="9"/>
    <col min="513" max="513" width="13.25" style="9" customWidth="1"/>
    <col min="514" max="514" width="11.75" style="9" customWidth="1"/>
    <col min="515" max="515" width="10.25" style="9" customWidth="1"/>
    <col min="516" max="518" width="13.25" style="9" customWidth="1"/>
    <col min="519" max="519" width="14.75" style="9" customWidth="1"/>
    <col min="520" max="520" width="8.375" style="9" customWidth="1"/>
    <col min="521" max="521" width="8.125" style="9" bestFit="1" customWidth="1"/>
    <col min="522" max="522" width="9.625" style="9" bestFit="1" customWidth="1"/>
    <col min="523" max="528" width="8.125" style="9" bestFit="1" customWidth="1"/>
    <col min="529" max="768" width="9" style="9"/>
    <col min="769" max="769" width="13.25" style="9" customWidth="1"/>
    <col min="770" max="770" width="11.75" style="9" customWidth="1"/>
    <col min="771" max="771" width="10.25" style="9" customWidth="1"/>
    <col min="772" max="774" width="13.25" style="9" customWidth="1"/>
    <col min="775" max="775" width="14.75" style="9" customWidth="1"/>
    <col min="776" max="776" width="8.375" style="9" customWidth="1"/>
    <col min="777" max="777" width="8.125" style="9" bestFit="1" customWidth="1"/>
    <col min="778" max="778" width="9.625" style="9" bestFit="1" customWidth="1"/>
    <col min="779" max="784" width="8.125" style="9" bestFit="1" customWidth="1"/>
    <col min="785" max="1024" width="9" style="9"/>
    <col min="1025" max="1025" width="13.25" style="9" customWidth="1"/>
    <col min="1026" max="1026" width="11.75" style="9" customWidth="1"/>
    <col min="1027" max="1027" width="10.25" style="9" customWidth="1"/>
    <col min="1028" max="1030" width="13.25" style="9" customWidth="1"/>
    <col min="1031" max="1031" width="14.75" style="9" customWidth="1"/>
    <col min="1032" max="1032" width="8.375" style="9" customWidth="1"/>
    <col min="1033" max="1033" width="8.125" style="9" bestFit="1" customWidth="1"/>
    <col min="1034" max="1034" width="9.625" style="9" bestFit="1" customWidth="1"/>
    <col min="1035" max="1040" width="8.125" style="9" bestFit="1" customWidth="1"/>
    <col min="1041" max="1280" width="9" style="9"/>
    <col min="1281" max="1281" width="13.25" style="9" customWidth="1"/>
    <col min="1282" max="1282" width="11.75" style="9" customWidth="1"/>
    <col min="1283" max="1283" width="10.25" style="9" customWidth="1"/>
    <col min="1284" max="1286" width="13.25" style="9" customWidth="1"/>
    <col min="1287" max="1287" width="14.75" style="9" customWidth="1"/>
    <col min="1288" max="1288" width="8.375" style="9" customWidth="1"/>
    <col min="1289" max="1289" width="8.125" style="9" bestFit="1" customWidth="1"/>
    <col min="1290" max="1290" width="9.625" style="9" bestFit="1" customWidth="1"/>
    <col min="1291" max="1296" width="8.125" style="9" bestFit="1" customWidth="1"/>
    <col min="1297" max="1536" width="9" style="9"/>
    <col min="1537" max="1537" width="13.25" style="9" customWidth="1"/>
    <col min="1538" max="1538" width="11.75" style="9" customWidth="1"/>
    <col min="1539" max="1539" width="10.25" style="9" customWidth="1"/>
    <col min="1540" max="1542" width="13.25" style="9" customWidth="1"/>
    <col min="1543" max="1543" width="14.75" style="9" customWidth="1"/>
    <col min="1544" max="1544" width="8.375" style="9" customWidth="1"/>
    <col min="1545" max="1545" width="8.125" style="9" bestFit="1" customWidth="1"/>
    <col min="1546" max="1546" width="9.625" style="9" bestFit="1" customWidth="1"/>
    <col min="1547" max="1552" width="8.125" style="9" bestFit="1" customWidth="1"/>
    <col min="1553" max="1792" width="9" style="9"/>
    <col min="1793" max="1793" width="13.25" style="9" customWidth="1"/>
    <col min="1794" max="1794" width="11.75" style="9" customWidth="1"/>
    <col min="1795" max="1795" width="10.25" style="9" customWidth="1"/>
    <col min="1796" max="1798" width="13.25" style="9" customWidth="1"/>
    <col min="1799" max="1799" width="14.75" style="9" customWidth="1"/>
    <col min="1800" max="1800" width="8.375" style="9" customWidth="1"/>
    <col min="1801" max="1801" width="8.125" style="9" bestFit="1" customWidth="1"/>
    <col min="1802" max="1802" width="9.625" style="9" bestFit="1" customWidth="1"/>
    <col min="1803" max="1808" width="8.125" style="9" bestFit="1" customWidth="1"/>
    <col min="1809" max="2048" width="9" style="9"/>
    <col min="2049" max="2049" width="13.25" style="9" customWidth="1"/>
    <col min="2050" max="2050" width="11.75" style="9" customWidth="1"/>
    <col min="2051" max="2051" width="10.25" style="9" customWidth="1"/>
    <col min="2052" max="2054" width="13.25" style="9" customWidth="1"/>
    <col min="2055" max="2055" width="14.75" style="9" customWidth="1"/>
    <col min="2056" max="2056" width="8.375" style="9" customWidth="1"/>
    <col min="2057" max="2057" width="8.125" style="9" bestFit="1" customWidth="1"/>
    <col min="2058" max="2058" width="9.625" style="9" bestFit="1" customWidth="1"/>
    <col min="2059" max="2064" width="8.125" style="9" bestFit="1" customWidth="1"/>
    <col min="2065" max="2304" width="9" style="9"/>
    <col min="2305" max="2305" width="13.25" style="9" customWidth="1"/>
    <col min="2306" max="2306" width="11.75" style="9" customWidth="1"/>
    <col min="2307" max="2307" width="10.25" style="9" customWidth="1"/>
    <col min="2308" max="2310" width="13.25" style="9" customWidth="1"/>
    <col min="2311" max="2311" width="14.75" style="9" customWidth="1"/>
    <col min="2312" max="2312" width="8.375" style="9" customWidth="1"/>
    <col min="2313" max="2313" width="8.125" style="9" bestFit="1" customWidth="1"/>
    <col min="2314" max="2314" width="9.625" style="9" bestFit="1" customWidth="1"/>
    <col min="2315" max="2320" width="8.125" style="9" bestFit="1" customWidth="1"/>
    <col min="2321" max="2560" width="9" style="9"/>
    <col min="2561" max="2561" width="13.25" style="9" customWidth="1"/>
    <col min="2562" max="2562" width="11.75" style="9" customWidth="1"/>
    <col min="2563" max="2563" width="10.25" style="9" customWidth="1"/>
    <col min="2564" max="2566" width="13.25" style="9" customWidth="1"/>
    <col min="2567" max="2567" width="14.75" style="9" customWidth="1"/>
    <col min="2568" max="2568" width="8.375" style="9" customWidth="1"/>
    <col min="2569" max="2569" width="8.125" style="9" bestFit="1" customWidth="1"/>
    <col min="2570" max="2570" width="9.625" style="9" bestFit="1" customWidth="1"/>
    <col min="2571" max="2576" width="8.125" style="9" bestFit="1" customWidth="1"/>
    <col min="2577" max="2816" width="9" style="9"/>
    <col min="2817" max="2817" width="13.25" style="9" customWidth="1"/>
    <col min="2818" max="2818" width="11.75" style="9" customWidth="1"/>
    <col min="2819" max="2819" width="10.25" style="9" customWidth="1"/>
    <col min="2820" max="2822" width="13.25" style="9" customWidth="1"/>
    <col min="2823" max="2823" width="14.75" style="9" customWidth="1"/>
    <col min="2824" max="2824" width="8.375" style="9" customWidth="1"/>
    <col min="2825" max="2825" width="8.125" style="9" bestFit="1" customWidth="1"/>
    <col min="2826" max="2826" width="9.625" style="9" bestFit="1" customWidth="1"/>
    <col min="2827" max="2832" width="8.125" style="9" bestFit="1" customWidth="1"/>
    <col min="2833" max="3072" width="9" style="9"/>
    <col min="3073" max="3073" width="13.25" style="9" customWidth="1"/>
    <col min="3074" max="3074" width="11.75" style="9" customWidth="1"/>
    <col min="3075" max="3075" width="10.25" style="9" customWidth="1"/>
    <col min="3076" max="3078" width="13.25" style="9" customWidth="1"/>
    <col min="3079" max="3079" width="14.75" style="9" customWidth="1"/>
    <col min="3080" max="3080" width="8.375" style="9" customWidth="1"/>
    <col min="3081" max="3081" width="8.125" style="9" bestFit="1" customWidth="1"/>
    <col min="3082" max="3082" width="9.625" style="9" bestFit="1" customWidth="1"/>
    <col min="3083" max="3088" width="8.125" style="9" bestFit="1" customWidth="1"/>
    <col min="3089" max="3328" width="9" style="9"/>
    <col min="3329" max="3329" width="13.25" style="9" customWidth="1"/>
    <col min="3330" max="3330" width="11.75" style="9" customWidth="1"/>
    <col min="3331" max="3331" width="10.25" style="9" customWidth="1"/>
    <col min="3332" max="3334" width="13.25" style="9" customWidth="1"/>
    <col min="3335" max="3335" width="14.75" style="9" customWidth="1"/>
    <col min="3336" max="3336" width="8.375" style="9" customWidth="1"/>
    <col min="3337" max="3337" width="8.125" style="9" bestFit="1" customWidth="1"/>
    <col min="3338" max="3338" width="9.625" style="9" bestFit="1" customWidth="1"/>
    <col min="3339" max="3344" width="8.125" style="9" bestFit="1" customWidth="1"/>
    <col min="3345" max="3584" width="9" style="9"/>
    <col min="3585" max="3585" width="13.25" style="9" customWidth="1"/>
    <col min="3586" max="3586" width="11.75" style="9" customWidth="1"/>
    <col min="3587" max="3587" width="10.25" style="9" customWidth="1"/>
    <col min="3588" max="3590" width="13.25" style="9" customWidth="1"/>
    <col min="3591" max="3591" width="14.75" style="9" customWidth="1"/>
    <col min="3592" max="3592" width="8.375" style="9" customWidth="1"/>
    <col min="3593" max="3593" width="8.125" style="9" bestFit="1" customWidth="1"/>
    <col min="3594" max="3594" width="9.625" style="9" bestFit="1" customWidth="1"/>
    <col min="3595" max="3600" width="8.125" style="9" bestFit="1" customWidth="1"/>
    <col min="3601" max="3840" width="9" style="9"/>
    <col min="3841" max="3841" width="13.25" style="9" customWidth="1"/>
    <col min="3842" max="3842" width="11.75" style="9" customWidth="1"/>
    <col min="3843" max="3843" width="10.25" style="9" customWidth="1"/>
    <col min="3844" max="3846" width="13.25" style="9" customWidth="1"/>
    <col min="3847" max="3847" width="14.75" style="9" customWidth="1"/>
    <col min="3848" max="3848" width="8.375" style="9" customWidth="1"/>
    <col min="3849" max="3849" width="8.125" style="9" bestFit="1" customWidth="1"/>
    <col min="3850" max="3850" width="9.625" style="9" bestFit="1" customWidth="1"/>
    <col min="3851" max="3856" width="8.125" style="9" bestFit="1" customWidth="1"/>
    <col min="3857" max="4096" width="9" style="9"/>
    <col min="4097" max="4097" width="13.25" style="9" customWidth="1"/>
    <col min="4098" max="4098" width="11.75" style="9" customWidth="1"/>
    <col min="4099" max="4099" width="10.25" style="9" customWidth="1"/>
    <col min="4100" max="4102" width="13.25" style="9" customWidth="1"/>
    <col min="4103" max="4103" width="14.75" style="9" customWidth="1"/>
    <col min="4104" max="4104" width="8.375" style="9" customWidth="1"/>
    <col min="4105" max="4105" width="8.125" style="9" bestFit="1" customWidth="1"/>
    <col min="4106" max="4106" width="9.625" style="9" bestFit="1" customWidth="1"/>
    <col min="4107" max="4112" width="8.125" style="9" bestFit="1" customWidth="1"/>
    <col min="4113" max="4352" width="9" style="9"/>
    <col min="4353" max="4353" width="13.25" style="9" customWidth="1"/>
    <col min="4354" max="4354" width="11.75" style="9" customWidth="1"/>
    <col min="4355" max="4355" width="10.25" style="9" customWidth="1"/>
    <col min="4356" max="4358" width="13.25" style="9" customWidth="1"/>
    <col min="4359" max="4359" width="14.75" style="9" customWidth="1"/>
    <col min="4360" max="4360" width="8.375" style="9" customWidth="1"/>
    <col min="4361" max="4361" width="8.125" style="9" bestFit="1" customWidth="1"/>
    <col min="4362" max="4362" width="9.625" style="9" bestFit="1" customWidth="1"/>
    <col min="4363" max="4368" width="8.125" style="9" bestFit="1" customWidth="1"/>
    <col min="4369" max="4608" width="9" style="9"/>
    <col min="4609" max="4609" width="13.25" style="9" customWidth="1"/>
    <col min="4610" max="4610" width="11.75" style="9" customWidth="1"/>
    <col min="4611" max="4611" width="10.25" style="9" customWidth="1"/>
    <col min="4612" max="4614" width="13.25" style="9" customWidth="1"/>
    <col min="4615" max="4615" width="14.75" style="9" customWidth="1"/>
    <col min="4616" max="4616" width="8.375" style="9" customWidth="1"/>
    <col min="4617" max="4617" width="8.125" style="9" bestFit="1" customWidth="1"/>
    <col min="4618" max="4618" width="9.625" style="9" bestFit="1" customWidth="1"/>
    <col min="4619" max="4624" width="8.125" style="9" bestFit="1" customWidth="1"/>
    <col min="4625" max="4864" width="9" style="9"/>
    <col min="4865" max="4865" width="13.25" style="9" customWidth="1"/>
    <col min="4866" max="4866" width="11.75" style="9" customWidth="1"/>
    <col min="4867" max="4867" width="10.25" style="9" customWidth="1"/>
    <col min="4868" max="4870" width="13.25" style="9" customWidth="1"/>
    <col min="4871" max="4871" width="14.75" style="9" customWidth="1"/>
    <col min="4872" max="4872" width="8.375" style="9" customWidth="1"/>
    <col min="4873" max="4873" width="8.125" style="9" bestFit="1" customWidth="1"/>
    <col min="4874" max="4874" width="9.625" style="9" bestFit="1" customWidth="1"/>
    <col min="4875" max="4880" width="8.125" style="9" bestFit="1" customWidth="1"/>
    <col min="4881" max="5120" width="9" style="9"/>
    <col min="5121" max="5121" width="13.25" style="9" customWidth="1"/>
    <col min="5122" max="5122" width="11.75" style="9" customWidth="1"/>
    <col min="5123" max="5123" width="10.25" style="9" customWidth="1"/>
    <col min="5124" max="5126" width="13.25" style="9" customWidth="1"/>
    <col min="5127" max="5127" width="14.75" style="9" customWidth="1"/>
    <col min="5128" max="5128" width="8.375" style="9" customWidth="1"/>
    <col min="5129" max="5129" width="8.125" style="9" bestFit="1" customWidth="1"/>
    <col min="5130" max="5130" width="9.625" style="9" bestFit="1" customWidth="1"/>
    <col min="5131" max="5136" width="8.125" style="9" bestFit="1" customWidth="1"/>
    <col min="5137" max="5376" width="9" style="9"/>
    <col min="5377" max="5377" width="13.25" style="9" customWidth="1"/>
    <col min="5378" max="5378" width="11.75" style="9" customWidth="1"/>
    <col min="5379" max="5379" width="10.25" style="9" customWidth="1"/>
    <col min="5380" max="5382" width="13.25" style="9" customWidth="1"/>
    <col min="5383" max="5383" width="14.75" style="9" customWidth="1"/>
    <col min="5384" max="5384" width="8.375" style="9" customWidth="1"/>
    <col min="5385" max="5385" width="8.125" style="9" bestFit="1" customWidth="1"/>
    <col min="5386" max="5386" width="9.625" style="9" bestFit="1" customWidth="1"/>
    <col min="5387" max="5392" width="8.125" style="9" bestFit="1" customWidth="1"/>
    <col min="5393" max="5632" width="9" style="9"/>
    <col min="5633" max="5633" width="13.25" style="9" customWidth="1"/>
    <col min="5634" max="5634" width="11.75" style="9" customWidth="1"/>
    <col min="5635" max="5635" width="10.25" style="9" customWidth="1"/>
    <col min="5636" max="5638" width="13.25" style="9" customWidth="1"/>
    <col min="5639" max="5639" width="14.75" style="9" customWidth="1"/>
    <col min="5640" max="5640" width="8.375" style="9" customWidth="1"/>
    <col min="5641" max="5641" width="8.125" style="9" bestFit="1" customWidth="1"/>
    <col min="5642" max="5642" width="9.625" style="9" bestFit="1" customWidth="1"/>
    <col min="5643" max="5648" width="8.125" style="9" bestFit="1" customWidth="1"/>
    <col min="5649" max="5888" width="9" style="9"/>
    <col min="5889" max="5889" width="13.25" style="9" customWidth="1"/>
    <col min="5890" max="5890" width="11.75" style="9" customWidth="1"/>
    <col min="5891" max="5891" width="10.25" style="9" customWidth="1"/>
    <col min="5892" max="5894" width="13.25" style="9" customWidth="1"/>
    <col min="5895" max="5895" width="14.75" style="9" customWidth="1"/>
    <col min="5896" max="5896" width="8.375" style="9" customWidth="1"/>
    <col min="5897" max="5897" width="8.125" style="9" bestFit="1" customWidth="1"/>
    <col min="5898" max="5898" width="9.625" style="9" bestFit="1" customWidth="1"/>
    <col min="5899" max="5904" width="8.125" style="9" bestFit="1" customWidth="1"/>
    <col min="5905" max="6144" width="9" style="9"/>
    <col min="6145" max="6145" width="13.25" style="9" customWidth="1"/>
    <col min="6146" max="6146" width="11.75" style="9" customWidth="1"/>
    <col min="6147" max="6147" width="10.25" style="9" customWidth="1"/>
    <col min="6148" max="6150" width="13.25" style="9" customWidth="1"/>
    <col min="6151" max="6151" width="14.75" style="9" customWidth="1"/>
    <col min="6152" max="6152" width="8.375" style="9" customWidth="1"/>
    <col min="6153" max="6153" width="8.125" style="9" bestFit="1" customWidth="1"/>
    <col min="6154" max="6154" width="9.625" style="9" bestFit="1" customWidth="1"/>
    <col min="6155" max="6160" width="8.125" style="9" bestFit="1" customWidth="1"/>
    <col min="6161" max="6400" width="9" style="9"/>
    <col min="6401" max="6401" width="13.25" style="9" customWidth="1"/>
    <col min="6402" max="6402" width="11.75" style="9" customWidth="1"/>
    <col min="6403" max="6403" width="10.25" style="9" customWidth="1"/>
    <col min="6404" max="6406" width="13.25" style="9" customWidth="1"/>
    <col min="6407" max="6407" width="14.75" style="9" customWidth="1"/>
    <col min="6408" max="6408" width="8.375" style="9" customWidth="1"/>
    <col min="6409" max="6409" width="8.125" style="9" bestFit="1" customWidth="1"/>
    <col min="6410" max="6410" width="9.625" style="9" bestFit="1" customWidth="1"/>
    <col min="6411" max="6416" width="8.125" style="9" bestFit="1" customWidth="1"/>
    <col min="6417" max="6656" width="9" style="9"/>
    <col min="6657" max="6657" width="13.25" style="9" customWidth="1"/>
    <col min="6658" max="6658" width="11.75" style="9" customWidth="1"/>
    <col min="6659" max="6659" width="10.25" style="9" customWidth="1"/>
    <col min="6660" max="6662" width="13.25" style="9" customWidth="1"/>
    <col min="6663" max="6663" width="14.75" style="9" customWidth="1"/>
    <col min="6664" max="6664" width="8.375" style="9" customWidth="1"/>
    <col min="6665" max="6665" width="8.125" style="9" bestFit="1" customWidth="1"/>
    <col min="6666" max="6666" width="9.625" style="9" bestFit="1" customWidth="1"/>
    <col min="6667" max="6672" width="8.125" style="9" bestFit="1" customWidth="1"/>
    <col min="6673" max="6912" width="9" style="9"/>
    <col min="6913" max="6913" width="13.25" style="9" customWidth="1"/>
    <col min="6914" max="6914" width="11.75" style="9" customWidth="1"/>
    <col min="6915" max="6915" width="10.25" style="9" customWidth="1"/>
    <col min="6916" max="6918" width="13.25" style="9" customWidth="1"/>
    <col min="6919" max="6919" width="14.75" style="9" customWidth="1"/>
    <col min="6920" max="6920" width="8.375" style="9" customWidth="1"/>
    <col min="6921" max="6921" width="8.125" style="9" bestFit="1" customWidth="1"/>
    <col min="6922" max="6922" width="9.625" style="9" bestFit="1" customWidth="1"/>
    <col min="6923" max="6928" width="8.125" style="9" bestFit="1" customWidth="1"/>
    <col min="6929" max="7168" width="9" style="9"/>
    <col min="7169" max="7169" width="13.25" style="9" customWidth="1"/>
    <col min="7170" max="7170" width="11.75" style="9" customWidth="1"/>
    <col min="7171" max="7171" width="10.25" style="9" customWidth="1"/>
    <col min="7172" max="7174" width="13.25" style="9" customWidth="1"/>
    <col min="7175" max="7175" width="14.75" style="9" customWidth="1"/>
    <col min="7176" max="7176" width="8.375" style="9" customWidth="1"/>
    <col min="7177" max="7177" width="8.125" style="9" bestFit="1" customWidth="1"/>
    <col min="7178" max="7178" width="9.625" style="9" bestFit="1" customWidth="1"/>
    <col min="7179" max="7184" width="8.125" style="9" bestFit="1" customWidth="1"/>
    <col min="7185" max="7424" width="9" style="9"/>
    <col min="7425" max="7425" width="13.25" style="9" customWidth="1"/>
    <col min="7426" max="7426" width="11.75" style="9" customWidth="1"/>
    <col min="7427" max="7427" width="10.25" style="9" customWidth="1"/>
    <col min="7428" max="7430" width="13.25" style="9" customWidth="1"/>
    <col min="7431" max="7431" width="14.75" style="9" customWidth="1"/>
    <col min="7432" max="7432" width="8.375" style="9" customWidth="1"/>
    <col min="7433" max="7433" width="8.125" style="9" bestFit="1" customWidth="1"/>
    <col min="7434" max="7434" width="9.625" style="9" bestFit="1" customWidth="1"/>
    <col min="7435" max="7440" width="8.125" style="9" bestFit="1" customWidth="1"/>
    <col min="7441" max="7680" width="9" style="9"/>
    <col min="7681" max="7681" width="13.25" style="9" customWidth="1"/>
    <col min="7682" max="7682" width="11.75" style="9" customWidth="1"/>
    <col min="7683" max="7683" width="10.25" style="9" customWidth="1"/>
    <col min="7684" max="7686" width="13.25" style="9" customWidth="1"/>
    <col min="7687" max="7687" width="14.75" style="9" customWidth="1"/>
    <col min="7688" max="7688" width="8.375" style="9" customWidth="1"/>
    <col min="7689" max="7689" width="8.125" style="9" bestFit="1" customWidth="1"/>
    <col min="7690" max="7690" width="9.625" style="9" bestFit="1" customWidth="1"/>
    <col min="7691" max="7696" width="8.125" style="9" bestFit="1" customWidth="1"/>
    <col min="7697" max="7936" width="9" style="9"/>
    <col min="7937" max="7937" width="13.25" style="9" customWidth="1"/>
    <col min="7938" max="7938" width="11.75" style="9" customWidth="1"/>
    <col min="7939" max="7939" width="10.25" style="9" customWidth="1"/>
    <col min="7940" max="7942" width="13.25" style="9" customWidth="1"/>
    <col min="7943" max="7943" width="14.75" style="9" customWidth="1"/>
    <col min="7944" max="7944" width="8.375" style="9" customWidth="1"/>
    <col min="7945" max="7945" width="8.125" style="9" bestFit="1" customWidth="1"/>
    <col min="7946" max="7946" width="9.625" style="9" bestFit="1" customWidth="1"/>
    <col min="7947" max="7952" width="8.125" style="9" bestFit="1" customWidth="1"/>
    <col min="7953" max="8192" width="9" style="9"/>
    <col min="8193" max="8193" width="13.25" style="9" customWidth="1"/>
    <col min="8194" max="8194" width="11.75" style="9" customWidth="1"/>
    <col min="8195" max="8195" width="10.25" style="9" customWidth="1"/>
    <col min="8196" max="8198" width="13.25" style="9" customWidth="1"/>
    <col min="8199" max="8199" width="14.75" style="9" customWidth="1"/>
    <col min="8200" max="8200" width="8.375" style="9" customWidth="1"/>
    <col min="8201" max="8201" width="8.125" style="9" bestFit="1" customWidth="1"/>
    <col min="8202" max="8202" width="9.625" style="9" bestFit="1" customWidth="1"/>
    <col min="8203" max="8208" width="8.125" style="9" bestFit="1" customWidth="1"/>
    <col min="8209" max="8448" width="9" style="9"/>
    <col min="8449" max="8449" width="13.25" style="9" customWidth="1"/>
    <col min="8450" max="8450" width="11.75" style="9" customWidth="1"/>
    <col min="8451" max="8451" width="10.25" style="9" customWidth="1"/>
    <col min="8452" max="8454" width="13.25" style="9" customWidth="1"/>
    <col min="8455" max="8455" width="14.75" style="9" customWidth="1"/>
    <col min="8456" max="8456" width="8.375" style="9" customWidth="1"/>
    <col min="8457" max="8457" width="8.125" style="9" bestFit="1" customWidth="1"/>
    <col min="8458" max="8458" width="9.625" style="9" bestFit="1" customWidth="1"/>
    <col min="8459" max="8464" width="8.125" style="9" bestFit="1" customWidth="1"/>
    <col min="8465" max="8704" width="9" style="9"/>
    <col min="8705" max="8705" width="13.25" style="9" customWidth="1"/>
    <col min="8706" max="8706" width="11.75" style="9" customWidth="1"/>
    <col min="8707" max="8707" width="10.25" style="9" customWidth="1"/>
    <col min="8708" max="8710" width="13.25" style="9" customWidth="1"/>
    <col min="8711" max="8711" width="14.75" style="9" customWidth="1"/>
    <col min="8712" max="8712" width="8.375" style="9" customWidth="1"/>
    <col min="8713" max="8713" width="8.125" style="9" bestFit="1" customWidth="1"/>
    <col min="8714" max="8714" width="9.625" style="9" bestFit="1" customWidth="1"/>
    <col min="8715" max="8720" width="8.125" style="9" bestFit="1" customWidth="1"/>
    <col min="8721" max="8960" width="9" style="9"/>
    <col min="8961" max="8961" width="13.25" style="9" customWidth="1"/>
    <col min="8962" max="8962" width="11.75" style="9" customWidth="1"/>
    <col min="8963" max="8963" width="10.25" style="9" customWidth="1"/>
    <col min="8964" max="8966" width="13.25" style="9" customWidth="1"/>
    <col min="8967" max="8967" width="14.75" style="9" customWidth="1"/>
    <col min="8968" max="8968" width="8.375" style="9" customWidth="1"/>
    <col min="8969" max="8969" width="8.125" style="9" bestFit="1" customWidth="1"/>
    <col min="8970" max="8970" width="9.625" style="9" bestFit="1" customWidth="1"/>
    <col min="8971" max="8976" width="8.125" style="9" bestFit="1" customWidth="1"/>
    <col min="8977" max="9216" width="9" style="9"/>
    <col min="9217" max="9217" width="13.25" style="9" customWidth="1"/>
    <col min="9218" max="9218" width="11.75" style="9" customWidth="1"/>
    <col min="9219" max="9219" width="10.25" style="9" customWidth="1"/>
    <col min="9220" max="9222" width="13.25" style="9" customWidth="1"/>
    <col min="9223" max="9223" width="14.75" style="9" customWidth="1"/>
    <col min="9224" max="9224" width="8.375" style="9" customWidth="1"/>
    <col min="9225" max="9225" width="8.125" style="9" bestFit="1" customWidth="1"/>
    <col min="9226" max="9226" width="9.625" style="9" bestFit="1" customWidth="1"/>
    <col min="9227" max="9232" width="8.125" style="9" bestFit="1" customWidth="1"/>
    <col min="9233" max="9472" width="9" style="9"/>
    <col min="9473" max="9473" width="13.25" style="9" customWidth="1"/>
    <col min="9474" max="9474" width="11.75" style="9" customWidth="1"/>
    <col min="9475" max="9475" width="10.25" style="9" customWidth="1"/>
    <col min="9476" max="9478" width="13.25" style="9" customWidth="1"/>
    <col min="9479" max="9479" width="14.75" style="9" customWidth="1"/>
    <col min="9480" max="9480" width="8.375" style="9" customWidth="1"/>
    <col min="9481" max="9481" width="8.125" style="9" bestFit="1" customWidth="1"/>
    <col min="9482" max="9482" width="9.625" style="9" bestFit="1" customWidth="1"/>
    <col min="9483" max="9488" width="8.125" style="9" bestFit="1" customWidth="1"/>
    <col min="9489" max="9728" width="9" style="9"/>
    <col min="9729" max="9729" width="13.25" style="9" customWidth="1"/>
    <col min="9730" max="9730" width="11.75" style="9" customWidth="1"/>
    <col min="9731" max="9731" width="10.25" style="9" customWidth="1"/>
    <col min="9732" max="9734" width="13.25" style="9" customWidth="1"/>
    <col min="9735" max="9735" width="14.75" style="9" customWidth="1"/>
    <col min="9736" max="9736" width="8.375" style="9" customWidth="1"/>
    <col min="9737" max="9737" width="8.125" style="9" bestFit="1" customWidth="1"/>
    <col min="9738" max="9738" width="9.625" style="9" bestFit="1" customWidth="1"/>
    <col min="9739" max="9744" width="8.125" style="9" bestFit="1" customWidth="1"/>
    <col min="9745" max="9984" width="9" style="9"/>
    <col min="9985" max="9985" width="13.25" style="9" customWidth="1"/>
    <col min="9986" max="9986" width="11.75" style="9" customWidth="1"/>
    <col min="9987" max="9987" width="10.25" style="9" customWidth="1"/>
    <col min="9988" max="9990" width="13.25" style="9" customWidth="1"/>
    <col min="9991" max="9991" width="14.75" style="9" customWidth="1"/>
    <col min="9992" max="9992" width="8.375" style="9" customWidth="1"/>
    <col min="9993" max="9993" width="8.125" style="9" bestFit="1" customWidth="1"/>
    <col min="9994" max="9994" width="9.625" style="9" bestFit="1" customWidth="1"/>
    <col min="9995" max="10000" width="8.125" style="9" bestFit="1" customWidth="1"/>
    <col min="10001" max="10240" width="9" style="9"/>
    <col min="10241" max="10241" width="13.25" style="9" customWidth="1"/>
    <col min="10242" max="10242" width="11.75" style="9" customWidth="1"/>
    <col min="10243" max="10243" width="10.25" style="9" customWidth="1"/>
    <col min="10244" max="10246" width="13.25" style="9" customWidth="1"/>
    <col min="10247" max="10247" width="14.75" style="9" customWidth="1"/>
    <col min="10248" max="10248" width="8.375" style="9" customWidth="1"/>
    <col min="10249" max="10249" width="8.125" style="9" bestFit="1" customWidth="1"/>
    <col min="10250" max="10250" width="9.625" style="9" bestFit="1" customWidth="1"/>
    <col min="10251" max="10256" width="8.125" style="9" bestFit="1" customWidth="1"/>
    <col min="10257" max="10496" width="9" style="9"/>
    <col min="10497" max="10497" width="13.25" style="9" customWidth="1"/>
    <col min="10498" max="10498" width="11.75" style="9" customWidth="1"/>
    <col min="10499" max="10499" width="10.25" style="9" customWidth="1"/>
    <col min="10500" max="10502" width="13.25" style="9" customWidth="1"/>
    <col min="10503" max="10503" width="14.75" style="9" customWidth="1"/>
    <col min="10504" max="10504" width="8.375" style="9" customWidth="1"/>
    <col min="10505" max="10505" width="8.125" style="9" bestFit="1" customWidth="1"/>
    <col min="10506" max="10506" width="9.625" style="9" bestFit="1" customWidth="1"/>
    <col min="10507" max="10512" width="8.125" style="9" bestFit="1" customWidth="1"/>
    <col min="10513" max="10752" width="9" style="9"/>
    <col min="10753" max="10753" width="13.25" style="9" customWidth="1"/>
    <col min="10754" max="10754" width="11.75" style="9" customWidth="1"/>
    <col min="10755" max="10755" width="10.25" style="9" customWidth="1"/>
    <col min="10756" max="10758" width="13.25" style="9" customWidth="1"/>
    <col min="10759" max="10759" width="14.75" style="9" customWidth="1"/>
    <col min="10760" max="10760" width="8.375" style="9" customWidth="1"/>
    <col min="10761" max="10761" width="8.125" style="9" bestFit="1" customWidth="1"/>
    <col min="10762" max="10762" width="9.625" style="9" bestFit="1" customWidth="1"/>
    <col min="10763" max="10768" width="8.125" style="9" bestFit="1" customWidth="1"/>
    <col min="10769" max="11008" width="9" style="9"/>
    <col min="11009" max="11009" width="13.25" style="9" customWidth="1"/>
    <col min="11010" max="11010" width="11.75" style="9" customWidth="1"/>
    <col min="11011" max="11011" width="10.25" style="9" customWidth="1"/>
    <col min="11012" max="11014" width="13.25" style="9" customWidth="1"/>
    <col min="11015" max="11015" width="14.75" style="9" customWidth="1"/>
    <col min="11016" max="11016" width="8.375" style="9" customWidth="1"/>
    <col min="11017" max="11017" width="8.125" style="9" bestFit="1" customWidth="1"/>
    <col min="11018" max="11018" width="9.625" style="9" bestFit="1" customWidth="1"/>
    <col min="11019" max="11024" width="8.125" style="9" bestFit="1" customWidth="1"/>
    <col min="11025" max="11264" width="9" style="9"/>
    <col min="11265" max="11265" width="13.25" style="9" customWidth="1"/>
    <col min="11266" max="11266" width="11.75" style="9" customWidth="1"/>
    <col min="11267" max="11267" width="10.25" style="9" customWidth="1"/>
    <col min="11268" max="11270" width="13.25" style="9" customWidth="1"/>
    <col min="11271" max="11271" width="14.75" style="9" customWidth="1"/>
    <col min="11272" max="11272" width="8.375" style="9" customWidth="1"/>
    <col min="11273" max="11273" width="8.125" style="9" bestFit="1" customWidth="1"/>
    <col min="11274" max="11274" width="9.625" style="9" bestFit="1" customWidth="1"/>
    <col min="11275" max="11280" width="8.125" style="9" bestFit="1" customWidth="1"/>
    <col min="11281" max="11520" width="9" style="9"/>
    <col min="11521" max="11521" width="13.25" style="9" customWidth="1"/>
    <col min="11522" max="11522" width="11.75" style="9" customWidth="1"/>
    <col min="11523" max="11523" width="10.25" style="9" customWidth="1"/>
    <col min="11524" max="11526" width="13.25" style="9" customWidth="1"/>
    <col min="11527" max="11527" width="14.75" style="9" customWidth="1"/>
    <col min="11528" max="11528" width="8.375" style="9" customWidth="1"/>
    <col min="11529" max="11529" width="8.125" style="9" bestFit="1" customWidth="1"/>
    <col min="11530" max="11530" width="9.625" style="9" bestFit="1" customWidth="1"/>
    <col min="11531" max="11536" width="8.125" style="9" bestFit="1" customWidth="1"/>
    <col min="11537" max="11776" width="9" style="9"/>
    <col min="11777" max="11777" width="13.25" style="9" customWidth="1"/>
    <col min="11778" max="11778" width="11.75" style="9" customWidth="1"/>
    <col min="11779" max="11779" width="10.25" style="9" customWidth="1"/>
    <col min="11780" max="11782" width="13.25" style="9" customWidth="1"/>
    <col min="11783" max="11783" width="14.75" style="9" customWidth="1"/>
    <col min="11784" max="11784" width="8.375" style="9" customWidth="1"/>
    <col min="11785" max="11785" width="8.125" style="9" bestFit="1" customWidth="1"/>
    <col min="11786" max="11786" width="9.625" style="9" bestFit="1" customWidth="1"/>
    <col min="11787" max="11792" width="8.125" style="9" bestFit="1" customWidth="1"/>
    <col min="11793" max="12032" width="9" style="9"/>
    <col min="12033" max="12033" width="13.25" style="9" customWidth="1"/>
    <col min="12034" max="12034" width="11.75" style="9" customWidth="1"/>
    <col min="12035" max="12035" width="10.25" style="9" customWidth="1"/>
    <col min="12036" max="12038" width="13.25" style="9" customWidth="1"/>
    <col min="12039" max="12039" width="14.75" style="9" customWidth="1"/>
    <col min="12040" max="12040" width="8.375" style="9" customWidth="1"/>
    <col min="12041" max="12041" width="8.125" style="9" bestFit="1" customWidth="1"/>
    <col min="12042" max="12042" width="9.625" style="9" bestFit="1" customWidth="1"/>
    <col min="12043" max="12048" width="8.125" style="9" bestFit="1" customWidth="1"/>
    <col min="12049" max="12288" width="9" style="9"/>
    <col min="12289" max="12289" width="13.25" style="9" customWidth="1"/>
    <col min="12290" max="12290" width="11.75" style="9" customWidth="1"/>
    <col min="12291" max="12291" width="10.25" style="9" customWidth="1"/>
    <col min="12292" max="12294" width="13.25" style="9" customWidth="1"/>
    <col min="12295" max="12295" width="14.75" style="9" customWidth="1"/>
    <col min="12296" max="12296" width="8.375" style="9" customWidth="1"/>
    <col min="12297" max="12297" width="8.125" style="9" bestFit="1" customWidth="1"/>
    <col min="12298" max="12298" width="9.625" style="9" bestFit="1" customWidth="1"/>
    <col min="12299" max="12304" width="8.125" style="9" bestFit="1" customWidth="1"/>
    <col min="12305" max="12544" width="9" style="9"/>
    <col min="12545" max="12545" width="13.25" style="9" customWidth="1"/>
    <col min="12546" max="12546" width="11.75" style="9" customWidth="1"/>
    <col min="12547" max="12547" width="10.25" style="9" customWidth="1"/>
    <col min="12548" max="12550" width="13.25" style="9" customWidth="1"/>
    <col min="12551" max="12551" width="14.75" style="9" customWidth="1"/>
    <col min="12552" max="12552" width="8.375" style="9" customWidth="1"/>
    <col min="12553" max="12553" width="8.125" style="9" bestFit="1" customWidth="1"/>
    <col min="12554" max="12554" width="9.625" style="9" bestFit="1" customWidth="1"/>
    <col min="12555" max="12560" width="8.125" style="9" bestFit="1" customWidth="1"/>
    <col min="12561" max="12800" width="9" style="9"/>
    <col min="12801" max="12801" width="13.25" style="9" customWidth="1"/>
    <col min="12802" max="12802" width="11.75" style="9" customWidth="1"/>
    <col min="12803" max="12803" width="10.25" style="9" customWidth="1"/>
    <col min="12804" max="12806" width="13.25" style="9" customWidth="1"/>
    <col min="12807" max="12807" width="14.75" style="9" customWidth="1"/>
    <col min="12808" max="12808" width="8.375" style="9" customWidth="1"/>
    <col min="12809" max="12809" width="8.125" style="9" bestFit="1" customWidth="1"/>
    <col min="12810" max="12810" width="9.625" style="9" bestFit="1" customWidth="1"/>
    <col min="12811" max="12816" width="8.125" style="9" bestFit="1" customWidth="1"/>
    <col min="12817" max="13056" width="9" style="9"/>
    <col min="13057" max="13057" width="13.25" style="9" customWidth="1"/>
    <col min="13058" max="13058" width="11.75" style="9" customWidth="1"/>
    <col min="13059" max="13059" width="10.25" style="9" customWidth="1"/>
    <col min="13060" max="13062" width="13.25" style="9" customWidth="1"/>
    <col min="13063" max="13063" width="14.75" style="9" customWidth="1"/>
    <col min="13064" max="13064" width="8.375" style="9" customWidth="1"/>
    <col min="13065" max="13065" width="8.125" style="9" bestFit="1" customWidth="1"/>
    <col min="13066" max="13066" width="9.625" style="9" bestFit="1" customWidth="1"/>
    <col min="13067" max="13072" width="8.125" style="9" bestFit="1" customWidth="1"/>
    <col min="13073" max="13312" width="9" style="9"/>
    <col min="13313" max="13313" width="13.25" style="9" customWidth="1"/>
    <col min="13314" max="13314" width="11.75" style="9" customWidth="1"/>
    <col min="13315" max="13315" width="10.25" style="9" customWidth="1"/>
    <col min="13316" max="13318" width="13.25" style="9" customWidth="1"/>
    <col min="13319" max="13319" width="14.75" style="9" customWidth="1"/>
    <col min="13320" max="13320" width="8.375" style="9" customWidth="1"/>
    <col min="13321" max="13321" width="8.125" style="9" bestFit="1" customWidth="1"/>
    <col min="13322" max="13322" width="9.625" style="9" bestFit="1" customWidth="1"/>
    <col min="13323" max="13328" width="8.125" style="9" bestFit="1" customWidth="1"/>
    <col min="13329" max="13568" width="9" style="9"/>
    <col min="13569" max="13569" width="13.25" style="9" customWidth="1"/>
    <col min="13570" max="13570" width="11.75" style="9" customWidth="1"/>
    <col min="13571" max="13571" width="10.25" style="9" customWidth="1"/>
    <col min="13572" max="13574" width="13.25" style="9" customWidth="1"/>
    <col min="13575" max="13575" width="14.75" style="9" customWidth="1"/>
    <col min="13576" max="13576" width="8.375" style="9" customWidth="1"/>
    <col min="13577" max="13577" width="8.125" style="9" bestFit="1" customWidth="1"/>
    <col min="13578" max="13578" width="9.625" style="9" bestFit="1" customWidth="1"/>
    <col min="13579" max="13584" width="8.125" style="9" bestFit="1" customWidth="1"/>
    <col min="13585" max="13824" width="9" style="9"/>
    <col min="13825" max="13825" width="13.25" style="9" customWidth="1"/>
    <col min="13826" max="13826" width="11.75" style="9" customWidth="1"/>
    <col min="13827" max="13827" width="10.25" style="9" customWidth="1"/>
    <col min="13828" max="13830" width="13.25" style="9" customWidth="1"/>
    <col min="13831" max="13831" width="14.75" style="9" customWidth="1"/>
    <col min="13832" max="13832" width="8.375" style="9" customWidth="1"/>
    <col min="13833" max="13833" width="8.125" style="9" bestFit="1" customWidth="1"/>
    <col min="13834" max="13834" width="9.625" style="9" bestFit="1" customWidth="1"/>
    <col min="13835" max="13840" width="8.125" style="9" bestFit="1" customWidth="1"/>
    <col min="13841" max="14080" width="9" style="9"/>
    <col min="14081" max="14081" width="13.25" style="9" customWidth="1"/>
    <col min="14082" max="14082" width="11.75" style="9" customWidth="1"/>
    <col min="14083" max="14083" width="10.25" style="9" customWidth="1"/>
    <col min="14084" max="14086" width="13.25" style="9" customWidth="1"/>
    <col min="14087" max="14087" width="14.75" style="9" customWidth="1"/>
    <col min="14088" max="14088" width="8.375" style="9" customWidth="1"/>
    <col min="14089" max="14089" width="8.125" style="9" bestFit="1" customWidth="1"/>
    <col min="14090" max="14090" width="9.625" style="9" bestFit="1" customWidth="1"/>
    <col min="14091" max="14096" width="8.125" style="9" bestFit="1" customWidth="1"/>
    <col min="14097" max="14336" width="9" style="9"/>
    <col min="14337" max="14337" width="13.25" style="9" customWidth="1"/>
    <col min="14338" max="14338" width="11.75" style="9" customWidth="1"/>
    <col min="14339" max="14339" width="10.25" style="9" customWidth="1"/>
    <col min="14340" max="14342" width="13.25" style="9" customWidth="1"/>
    <col min="14343" max="14343" width="14.75" style="9" customWidth="1"/>
    <col min="14344" max="14344" width="8.375" style="9" customWidth="1"/>
    <col min="14345" max="14345" width="8.125" style="9" bestFit="1" customWidth="1"/>
    <col min="14346" max="14346" width="9.625" style="9" bestFit="1" customWidth="1"/>
    <col min="14347" max="14352" width="8.125" style="9" bestFit="1" customWidth="1"/>
    <col min="14353" max="14592" width="9" style="9"/>
    <col min="14593" max="14593" width="13.25" style="9" customWidth="1"/>
    <col min="14594" max="14594" width="11.75" style="9" customWidth="1"/>
    <col min="14595" max="14595" width="10.25" style="9" customWidth="1"/>
    <col min="14596" max="14598" width="13.25" style="9" customWidth="1"/>
    <col min="14599" max="14599" width="14.75" style="9" customWidth="1"/>
    <col min="14600" max="14600" width="8.375" style="9" customWidth="1"/>
    <col min="14601" max="14601" width="8.125" style="9" bestFit="1" customWidth="1"/>
    <col min="14602" max="14602" width="9.625" style="9" bestFit="1" customWidth="1"/>
    <col min="14603" max="14608" width="8.125" style="9" bestFit="1" customWidth="1"/>
    <col min="14609" max="14848" width="9" style="9"/>
    <col min="14849" max="14849" width="13.25" style="9" customWidth="1"/>
    <col min="14850" max="14850" width="11.75" style="9" customWidth="1"/>
    <col min="14851" max="14851" width="10.25" style="9" customWidth="1"/>
    <col min="14852" max="14854" width="13.25" style="9" customWidth="1"/>
    <col min="14855" max="14855" width="14.75" style="9" customWidth="1"/>
    <col min="14856" max="14856" width="8.375" style="9" customWidth="1"/>
    <col min="14857" max="14857" width="8.125" style="9" bestFit="1" customWidth="1"/>
    <col min="14858" max="14858" width="9.625" style="9" bestFit="1" customWidth="1"/>
    <col min="14859" max="14864" width="8.125" style="9" bestFit="1" customWidth="1"/>
    <col min="14865" max="15104" width="9" style="9"/>
    <col min="15105" max="15105" width="13.25" style="9" customWidth="1"/>
    <col min="15106" max="15106" width="11.75" style="9" customWidth="1"/>
    <col min="15107" max="15107" width="10.25" style="9" customWidth="1"/>
    <col min="15108" max="15110" width="13.25" style="9" customWidth="1"/>
    <col min="15111" max="15111" width="14.75" style="9" customWidth="1"/>
    <col min="15112" max="15112" width="8.375" style="9" customWidth="1"/>
    <col min="15113" max="15113" width="8.125" style="9" bestFit="1" customWidth="1"/>
    <col min="15114" max="15114" width="9.625" style="9" bestFit="1" customWidth="1"/>
    <col min="15115" max="15120" width="8.125" style="9" bestFit="1" customWidth="1"/>
    <col min="15121" max="15360" width="9" style="9"/>
    <col min="15361" max="15361" width="13.25" style="9" customWidth="1"/>
    <col min="15362" max="15362" width="11.75" style="9" customWidth="1"/>
    <col min="15363" max="15363" width="10.25" style="9" customWidth="1"/>
    <col min="15364" max="15366" width="13.25" style="9" customWidth="1"/>
    <col min="15367" max="15367" width="14.75" style="9" customWidth="1"/>
    <col min="15368" max="15368" width="8.375" style="9" customWidth="1"/>
    <col min="15369" max="15369" width="8.125" style="9" bestFit="1" customWidth="1"/>
    <col min="15370" max="15370" width="9.625" style="9" bestFit="1" customWidth="1"/>
    <col min="15371" max="15376" width="8.125" style="9" bestFit="1" customWidth="1"/>
    <col min="15377" max="15616" width="9" style="9"/>
    <col min="15617" max="15617" width="13.25" style="9" customWidth="1"/>
    <col min="15618" max="15618" width="11.75" style="9" customWidth="1"/>
    <col min="15619" max="15619" width="10.25" style="9" customWidth="1"/>
    <col min="15620" max="15622" width="13.25" style="9" customWidth="1"/>
    <col min="15623" max="15623" width="14.75" style="9" customWidth="1"/>
    <col min="15624" max="15624" width="8.375" style="9" customWidth="1"/>
    <col min="15625" max="15625" width="8.125" style="9" bestFit="1" customWidth="1"/>
    <col min="15626" max="15626" width="9.625" style="9" bestFit="1" customWidth="1"/>
    <col min="15627" max="15632" width="8.125" style="9" bestFit="1" customWidth="1"/>
    <col min="15633" max="15872" width="9" style="9"/>
    <col min="15873" max="15873" width="13.25" style="9" customWidth="1"/>
    <col min="15874" max="15874" width="11.75" style="9" customWidth="1"/>
    <col min="15875" max="15875" width="10.25" style="9" customWidth="1"/>
    <col min="15876" max="15878" width="13.25" style="9" customWidth="1"/>
    <col min="15879" max="15879" width="14.75" style="9" customWidth="1"/>
    <col min="15880" max="15880" width="8.375" style="9" customWidth="1"/>
    <col min="15881" max="15881" width="8.125" style="9" bestFit="1" customWidth="1"/>
    <col min="15882" max="15882" width="9.625" style="9" bestFit="1" customWidth="1"/>
    <col min="15883" max="15888" width="8.125" style="9" bestFit="1" customWidth="1"/>
    <col min="15889" max="16128" width="9" style="9"/>
    <col min="16129" max="16129" width="13.25" style="9" customWidth="1"/>
    <col min="16130" max="16130" width="11.75" style="9" customWidth="1"/>
    <col min="16131" max="16131" width="10.25" style="9" customWidth="1"/>
    <col min="16132" max="16134" width="13.25" style="9" customWidth="1"/>
    <col min="16135" max="16135" width="14.75" style="9" customWidth="1"/>
    <col min="16136" max="16136" width="8.375" style="9" customWidth="1"/>
    <col min="16137" max="16137" width="8.125" style="9" bestFit="1" customWidth="1"/>
    <col min="16138" max="16138" width="9.625" style="9" bestFit="1" customWidth="1"/>
    <col min="16139" max="16144" width="8.125" style="9" bestFit="1" customWidth="1"/>
    <col min="16145" max="16384" width="9" style="9"/>
  </cols>
  <sheetData>
    <row r="2" spans="1:16" ht="22.5">
      <c r="A2" s="240" t="s">
        <v>20</v>
      </c>
      <c r="B2" s="241"/>
      <c r="C2" s="241"/>
      <c r="D2" s="241"/>
      <c r="E2" s="241"/>
      <c r="F2" s="241"/>
      <c r="G2" s="242"/>
    </row>
    <row r="3" spans="1:16">
      <c r="C3" s="10"/>
      <c r="D3" s="10"/>
      <c r="E3" s="10"/>
      <c r="F3" s="11"/>
    </row>
    <row r="4" spans="1:16">
      <c r="A4" s="10" t="s">
        <v>21</v>
      </c>
    </row>
    <row r="5" spans="1:16">
      <c r="G5" s="13" t="s">
        <v>22</v>
      </c>
    </row>
    <row r="6" spans="1:16">
      <c r="A6" s="243" t="s">
        <v>23</v>
      </c>
      <c r="B6" s="243" t="s">
        <v>24</v>
      </c>
      <c r="C6" s="243"/>
      <c r="D6" s="243"/>
      <c r="E6" s="14" t="s">
        <v>25</v>
      </c>
      <c r="F6" s="14" t="s">
        <v>26</v>
      </c>
      <c r="G6" s="14" t="s">
        <v>27</v>
      </c>
      <c r="I6" s="9" t="s">
        <v>28</v>
      </c>
    </row>
    <row r="7" spans="1:16">
      <c r="A7" s="243"/>
      <c r="B7" s="15" t="s">
        <v>29</v>
      </c>
      <c r="C7" s="15" t="s">
        <v>30</v>
      </c>
      <c r="D7" s="15" t="s">
        <v>31</v>
      </c>
      <c r="E7" s="16">
        <v>1.1000000000000001</v>
      </c>
      <c r="F7" s="17">
        <v>0.2</v>
      </c>
      <c r="G7" s="18" t="s">
        <v>32</v>
      </c>
      <c r="H7" s="19"/>
      <c r="I7" s="9">
        <v>10</v>
      </c>
      <c r="J7" s="9">
        <v>15</v>
      </c>
      <c r="K7" s="9">
        <v>20</v>
      </c>
      <c r="L7" s="9">
        <v>25</v>
      </c>
      <c r="M7" s="9">
        <v>30</v>
      </c>
      <c r="N7" s="9">
        <v>35</v>
      </c>
      <c r="O7" s="9">
        <v>40</v>
      </c>
      <c r="P7" s="9">
        <v>45</v>
      </c>
    </row>
    <row r="8" spans="1:16">
      <c r="A8" s="20" t="s">
        <v>33</v>
      </c>
      <c r="B8" s="21">
        <v>411642</v>
      </c>
      <c r="C8" s="22">
        <v>21</v>
      </c>
      <c r="D8" s="23">
        <f>B8*C8</f>
        <v>8644482</v>
      </c>
      <c r="E8" s="24">
        <f>D8*E7</f>
        <v>9508930.2000000011</v>
      </c>
      <c r="F8" s="24">
        <f>(D8+E8)*F7</f>
        <v>3630682.4400000009</v>
      </c>
      <c r="G8" s="24">
        <f>D8+E8+F8</f>
        <v>21784094.640000004</v>
      </c>
      <c r="H8" s="25">
        <v>8000000</v>
      </c>
      <c r="I8" s="26">
        <f>G8*0.9</f>
        <v>19605685.176000003</v>
      </c>
      <c r="J8" s="26">
        <f>G8*(100-J7)/100</f>
        <v>18516480.444000002</v>
      </c>
      <c r="K8" s="26">
        <f>G8*0.8</f>
        <v>17427275.712000005</v>
      </c>
      <c r="L8" s="26">
        <f>$G$8*0.75</f>
        <v>16338070.980000004</v>
      </c>
      <c r="M8" s="26">
        <f>$G8*0.7</f>
        <v>15248866.248000002</v>
      </c>
      <c r="N8" s="26">
        <f>$G8*0.65</f>
        <v>14159661.516000003</v>
      </c>
      <c r="O8" s="26">
        <f>$G8*0.6</f>
        <v>13070456.784000002</v>
      </c>
      <c r="P8" s="26">
        <f>$G8*0.55</f>
        <v>11981252.052000003</v>
      </c>
    </row>
    <row r="9" spans="1:16">
      <c r="A9" s="27" t="s">
        <v>34</v>
      </c>
      <c r="B9" s="21">
        <v>373593</v>
      </c>
      <c r="C9" s="22">
        <v>21</v>
      </c>
      <c r="D9" s="23">
        <f>B9*C9</f>
        <v>7845453</v>
      </c>
      <c r="E9" s="28">
        <f>D9*E7</f>
        <v>8629998.3000000007</v>
      </c>
      <c r="F9" s="28">
        <f>(D9+E9)*F7</f>
        <v>3295090.2600000002</v>
      </c>
      <c r="G9" s="28">
        <f>TRUNC((D9+E9+F9),-3)</f>
        <v>19770000</v>
      </c>
      <c r="H9" s="25">
        <v>8000000</v>
      </c>
      <c r="I9" s="26">
        <f>G9*0.9</f>
        <v>17793000</v>
      </c>
      <c r="J9" s="26">
        <f>G9*(100-$J$7)/100</f>
        <v>16804500</v>
      </c>
      <c r="K9" s="26">
        <f>G9*0.8</f>
        <v>15816000</v>
      </c>
      <c r="L9" s="26">
        <f>$G$9*0.75</f>
        <v>14827500</v>
      </c>
      <c r="M9" s="26">
        <f>$G9*0.7</f>
        <v>13839000</v>
      </c>
      <c r="N9" s="26">
        <f>$G9*0.65</f>
        <v>12850500</v>
      </c>
      <c r="O9" s="26">
        <f>$G9*0.6</f>
        <v>11862000</v>
      </c>
      <c r="P9" s="26">
        <f>$G9*0.55</f>
        <v>10873500</v>
      </c>
    </row>
    <row r="10" spans="1:16">
      <c r="A10" s="27" t="s">
        <v>35</v>
      </c>
      <c r="B10" s="21">
        <v>276160</v>
      </c>
      <c r="C10" s="22">
        <v>21</v>
      </c>
      <c r="D10" s="23">
        <f>B10*C10</f>
        <v>5799360</v>
      </c>
      <c r="E10" s="28">
        <f>D10*E7</f>
        <v>6379296.0000000009</v>
      </c>
      <c r="F10" s="28">
        <f>(D10+E10)*F7</f>
        <v>2435731.2000000002</v>
      </c>
      <c r="G10" s="28">
        <f>TRUNC((D10+E10+F10),-3)</f>
        <v>14614000</v>
      </c>
      <c r="H10" s="25">
        <v>7000000</v>
      </c>
      <c r="I10" s="26">
        <f>G10*0.9</f>
        <v>13152600</v>
      </c>
      <c r="J10" s="26">
        <f>G10*(100-$J$7)/100</f>
        <v>12421900</v>
      </c>
      <c r="K10" s="26">
        <f>G10*0.8</f>
        <v>11691200</v>
      </c>
      <c r="L10" s="26">
        <f>$G$10*0.75</f>
        <v>10960500</v>
      </c>
      <c r="M10" s="26">
        <f>$G10*0.7</f>
        <v>10229800</v>
      </c>
      <c r="N10" s="26">
        <f>$G10*0.65</f>
        <v>9499100</v>
      </c>
      <c r="O10" s="26">
        <f>$G10*0.6</f>
        <v>8768400</v>
      </c>
      <c r="P10" s="26">
        <f>$G10*0.55</f>
        <v>8037700.0000000009</v>
      </c>
    </row>
    <row r="11" spans="1:16">
      <c r="A11" s="27" t="s">
        <v>36</v>
      </c>
      <c r="B11" s="21">
        <v>221375</v>
      </c>
      <c r="C11" s="22">
        <v>21</v>
      </c>
      <c r="D11" s="23">
        <f>B11*C11</f>
        <v>4648875</v>
      </c>
      <c r="E11" s="28">
        <f>D11*E7</f>
        <v>5113762.5</v>
      </c>
      <c r="F11" s="28">
        <f>(D11+E11)*F7</f>
        <v>1952527.5</v>
      </c>
      <c r="G11" s="28">
        <f>TRUNC((D11+E11+F11),-3)</f>
        <v>11715000</v>
      </c>
      <c r="H11" s="25">
        <v>6000000</v>
      </c>
      <c r="I11" s="26">
        <f>G11*0.9</f>
        <v>10543500</v>
      </c>
      <c r="J11" s="26">
        <f>G11*(100-$J$7)/100</f>
        <v>9957750</v>
      </c>
      <c r="K11" s="26">
        <f>G11*0.8</f>
        <v>9372000</v>
      </c>
      <c r="L11" s="26">
        <f>$G$11*0.75</f>
        <v>8786250</v>
      </c>
      <c r="M11" s="26">
        <f>$G11*0.7</f>
        <v>8200499.9999999991</v>
      </c>
      <c r="N11" s="26">
        <f>$G11*0.65</f>
        <v>7614750</v>
      </c>
      <c r="O11" s="26">
        <f>$G11*0.6</f>
        <v>7029000</v>
      </c>
      <c r="P11" s="26">
        <f>$G11*0.55</f>
        <v>6443250.0000000009</v>
      </c>
    </row>
    <row r="12" spans="1:16">
      <c r="A12" s="27" t="s">
        <v>37</v>
      </c>
      <c r="B12" s="21">
        <v>190787</v>
      </c>
      <c r="C12" s="22">
        <v>21</v>
      </c>
      <c r="D12" s="23">
        <f>B12*C12</f>
        <v>4006527</v>
      </c>
      <c r="E12" s="28">
        <f>D12*E7</f>
        <v>4407179.7</v>
      </c>
      <c r="F12" s="28">
        <f>(D12+E12)*F7</f>
        <v>1682741.3399999999</v>
      </c>
      <c r="G12" s="28">
        <f>TRUNC((D12+E12+F12),-3)</f>
        <v>10096000</v>
      </c>
      <c r="H12" s="25">
        <v>5000000</v>
      </c>
      <c r="I12" s="26">
        <f>G12*0.9</f>
        <v>9086400</v>
      </c>
      <c r="J12" s="26">
        <f>G12*(100-$J$7)/100</f>
        <v>8581600</v>
      </c>
      <c r="K12" s="26">
        <f>G12*0.8</f>
        <v>8076800</v>
      </c>
      <c r="L12" s="26">
        <f>$G$12*0.75</f>
        <v>7572000</v>
      </c>
      <c r="M12" s="26">
        <f>$G12*0.7</f>
        <v>7067200</v>
      </c>
      <c r="N12" s="26">
        <f>$G12*0.65</f>
        <v>6562400</v>
      </c>
      <c r="O12" s="26">
        <f>$G12*0.6</f>
        <v>6057600</v>
      </c>
      <c r="P12" s="26">
        <f>$G12*0.55</f>
        <v>5552800</v>
      </c>
    </row>
    <row r="14" spans="1:16">
      <c r="A14" s="10" t="s">
        <v>38</v>
      </c>
      <c r="I14" s="26"/>
      <c r="J14" s="26"/>
      <c r="K14" s="26"/>
      <c r="L14" s="26"/>
      <c r="M14" s="26"/>
      <c r="N14" s="26"/>
      <c r="O14" s="26"/>
      <c r="P14" s="26"/>
    </row>
    <row r="15" spans="1:16">
      <c r="H15" s="25"/>
      <c r="I15" s="26"/>
      <c r="J15" s="26"/>
      <c r="K15" s="26"/>
      <c r="L15" s="26"/>
      <c r="M15" s="26"/>
      <c r="N15" s="26"/>
      <c r="O15" s="26"/>
      <c r="P15" s="26"/>
    </row>
    <row r="16" spans="1:16" ht="96" customHeight="1">
      <c r="A16" s="244" t="s">
        <v>39</v>
      </c>
      <c r="B16" s="244"/>
      <c r="C16" s="244"/>
      <c r="D16" s="244"/>
      <c r="E16" s="244"/>
      <c r="F16" s="244"/>
      <c r="G16" s="244"/>
      <c r="H16" s="19"/>
    </row>
    <row r="17" spans="1:16">
      <c r="A17" s="29"/>
      <c r="B17" s="29"/>
      <c r="C17" s="29"/>
      <c r="D17" s="29"/>
      <c r="E17" s="29"/>
      <c r="F17" s="29"/>
      <c r="G17" s="29"/>
      <c r="H17" s="19" t="s">
        <v>40</v>
      </c>
    </row>
    <row r="18" spans="1:16">
      <c r="B18" s="8"/>
      <c r="C18" s="30"/>
      <c r="H18" s="8">
        <f>(D8+E8+F8)/C8</f>
        <v>1037337.8400000002</v>
      </c>
      <c r="I18" s="26">
        <f>$H$18*0.9</f>
        <v>933604.05600000022</v>
      </c>
      <c r="J18" s="26">
        <f>$H$18*0.85</f>
        <v>881737.16400000011</v>
      </c>
      <c r="K18" s="26">
        <f>$H$18*0.8</f>
        <v>829870.27200000023</v>
      </c>
      <c r="L18" s="26">
        <f>$H$18*0.75</f>
        <v>778003.38000000012</v>
      </c>
      <c r="M18" s="26">
        <f>$H$18*0.7</f>
        <v>726136.48800000013</v>
      </c>
      <c r="N18" s="26">
        <f>$H$18*0.65</f>
        <v>674269.59600000014</v>
      </c>
      <c r="O18" s="26">
        <f>$H$18*0.6</f>
        <v>622402.70400000014</v>
      </c>
      <c r="P18" s="26">
        <f>$H$18*0.55</f>
        <v>570535.81200000015</v>
      </c>
    </row>
    <row r="19" spans="1:16">
      <c r="B19" s="8"/>
      <c r="C19" s="30"/>
      <c r="F19" s="9"/>
      <c r="H19" s="8">
        <f>(D9+E9+F9)/C9</f>
        <v>941454.3600000001</v>
      </c>
      <c r="I19" s="26">
        <f>$H$19*0.9</f>
        <v>847308.92400000012</v>
      </c>
      <c r="J19" s="26">
        <f>$H$19*0.85</f>
        <v>800236.20600000012</v>
      </c>
      <c r="K19" s="26">
        <f>$H$19*0.8</f>
        <v>753163.48800000013</v>
      </c>
      <c r="L19" s="26">
        <f>$H$19*0.75</f>
        <v>706090.77</v>
      </c>
      <c r="M19" s="26">
        <f>$H$19*0.7</f>
        <v>659018.05200000003</v>
      </c>
      <c r="N19" s="26">
        <f>$H$19*0.65</f>
        <v>611945.33400000003</v>
      </c>
      <c r="O19" s="26">
        <f>$H$19*0.6</f>
        <v>564872.61600000004</v>
      </c>
      <c r="P19" s="26">
        <f>$H$19*0.55</f>
        <v>517799.8980000001</v>
      </c>
    </row>
    <row r="20" spans="1:16">
      <c r="B20" s="8"/>
      <c r="C20" s="30"/>
      <c r="F20" s="9"/>
      <c r="H20" s="8">
        <f>(D10+E10+F10)/C10</f>
        <v>695923.19999999995</v>
      </c>
      <c r="I20" s="26">
        <f>$H$20*0.9</f>
        <v>626330.88</v>
      </c>
      <c r="J20" s="26">
        <f>$H$20*0.85</f>
        <v>591534.72</v>
      </c>
      <c r="K20" s="26">
        <f>$H$20*0.8</f>
        <v>556738.55999999994</v>
      </c>
      <c r="L20" s="26">
        <f>$H$20*0.75</f>
        <v>521942.39999999997</v>
      </c>
      <c r="M20" s="26">
        <f>$H$20*0.7</f>
        <v>487146.23999999993</v>
      </c>
      <c r="N20" s="26">
        <f>$H$20*0.65</f>
        <v>452350.07999999996</v>
      </c>
      <c r="O20" s="26">
        <f>$H$20*0.6</f>
        <v>417553.91999999998</v>
      </c>
      <c r="P20" s="26">
        <f>$H$20*0.55</f>
        <v>382757.76</v>
      </c>
    </row>
    <row r="21" spans="1:16">
      <c r="B21" s="8"/>
      <c r="C21" s="30"/>
      <c r="F21" s="9"/>
      <c r="H21" s="8">
        <f>(D11+E11+F11)/C11</f>
        <v>557865</v>
      </c>
      <c r="I21" s="26">
        <f>$H$21*0.9</f>
        <v>502078.5</v>
      </c>
      <c r="J21" s="26">
        <f>$H$21*0.85</f>
        <v>474185.25</v>
      </c>
      <c r="K21" s="26">
        <f>$H$21*0.8</f>
        <v>446292</v>
      </c>
      <c r="L21" s="26">
        <f>$H$21*0.75</f>
        <v>418398.75</v>
      </c>
      <c r="M21" s="26">
        <f>$H$21*0.7</f>
        <v>390505.5</v>
      </c>
      <c r="N21" s="26">
        <f>$H$21*0.65</f>
        <v>362612.25</v>
      </c>
      <c r="O21" s="26">
        <f>$H$21*0.6</f>
        <v>334719</v>
      </c>
      <c r="P21" s="26">
        <f>$H$21*0.55</f>
        <v>306825.75</v>
      </c>
    </row>
    <row r="22" spans="1:16">
      <c r="B22" s="8"/>
      <c r="C22" s="30"/>
      <c r="F22" s="9"/>
      <c r="H22" s="8">
        <f>(D12+E12+F12)/C12</f>
        <v>480783.23999999993</v>
      </c>
      <c r="I22" s="26">
        <f>$H$22*0.9</f>
        <v>432704.91599999997</v>
      </c>
      <c r="J22" s="26">
        <f>$H$22*0.85</f>
        <v>408665.75399999996</v>
      </c>
      <c r="K22" s="26">
        <f>$H$22*0.8</f>
        <v>384626.59199999995</v>
      </c>
      <c r="L22" s="26">
        <f>$H$22*0.75</f>
        <v>360587.42999999993</v>
      </c>
      <c r="M22" s="26">
        <f>$H$22*0.7</f>
        <v>336548.26799999992</v>
      </c>
      <c r="N22" s="26">
        <f>$H$22*0.65</f>
        <v>312509.10599999997</v>
      </c>
      <c r="O22" s="26">
        <f>$H$22*0.6</f>
        <v>288469.94399999996</v>
      </c>
      <c r="P22" s="26">
        <f>$H$22*0.55</f>
        <v>264430.78200000001</v>
      </c>
    </row>
    <row r="23" spans="1:16">
      <c r="F23" s="9"/>
    </row>
    <row r="24" spans="1:16">
      <c r="F24" s="9"/>
    </row>
  </sheetData>
  <mergeCells count="4">
    <mergeCell ref="A2:G2"/>
    <mergeCell ref="A6:A7"/>
    <mergeCell ref="B6:D6"/>
    <mergeCell ref="A16:G16"/>
  </mergeCells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공수</vt:lpstr>
      <vt:lpstr>단가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2016-03-17T04:25:33Z</dcterms:created>
  <dcterms:modified xsi:type="dcterms:W3CDTF">2016-12-01T08:55:23Z</dcterms:modified>
</cp:coreProperties>
</file>